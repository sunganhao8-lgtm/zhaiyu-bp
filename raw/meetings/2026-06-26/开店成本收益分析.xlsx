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390\Desktop\"/>
    </mc:Choice>
  </mc:AlternateContent>
  <xr:revisionPtr revIDLastSave="0" documentId="13_ncr:1_{2850CE41-E1D6-48FA-9685-48817B9D6A1D}" xr6:coauthVersionLast="47" xr6:coauthVersionMax="47" xr10:uidLastSave="{00000000-0000-0000-0000-000000000000}"/>
  <bookViews>
    <workbookView xWindow="-108" yWindow="-108" windowWidth="30936" windowHeight="16776" xr2:uid="{5CE7879B-1B48-4BA3-9329-E3FF3B68CA9D}"/>
  </bookViews>
  <sheets>
    <sheet name="Sheet1" sheetId="1" r:id="rId1"/>
  </sheets>
  <definedNames>
    <definedName name="_xlnm._FilterDatabase" localSheetId="0" hidden="1">Sheet1!$N$11:$T$11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B37" i="1"/>
  <c r="B38" i="1"/>
  <c r="B35" i="1"/>
  <c r="S28" i="1"/>
  <c r="S25" i="1"/>
  <c r="S26" i="1"/>
  <c r="S27" i="1"/>
  <c r="S29" i="1"/>
  <c r="D20" i="1"/>
  <c r="D21" i="1"/>
  <c r="D18" i="1"/>
  <c r="K24" i="1"/>
  <c r="S13" i="1"/>
  <c r="S14" i="1"/>
  <c r="S15" i="1"/>
  <c r="S16" i="1"/>
  <c r="S17" i="1"/>
  <c r="S18" i="1"/>
  <c r="S19" i="1"/>
  <c r="S22" i="1"/>
  <c r="S23" i="1"/>
  <c r="S24" i="1"/>
  <c r="S21" i="1"/>
  <c r="S12" i="1"/>
  <c r="B1" i="1"/>
  <c r="K13" i="1"/>
  <c r="K14" i="1"/>
  <c r="K15" i="1"/>
  <c r="K16" i="1"/>
  <c r="K17" i="1"/>
  <c r="K18" i="1"/>
  <c r="K19" i="1"/>
  <c r="K20" i="1"/>
  <c r="K21" i="1"/>
  <c r="K22" i="1"/>
  <c r="K23" i="1"/>
  <c r="K12" i="1"/>
  <c r="S5" i="1" l="1"/>
  <c r="I1" i="1"/>
  <c r="V1" i="1" s="1"/>
  <c r="W1" i="1" s="1"/>
  <c r="M3" i="1" l="1"/>
  <c r="M5" i="1" s="1"/>
  <c r="M1" i="1"/>
  <c r="P3" i="1" l="1"/>
  <c r="V5" i="1"/>
  <c r="S3" i="1"/>
  <c r="V3" i="1" l="1"/>
  <c r="V7" i="1"/>
</calcChain>
</file>

<file path=xl/sharedStrings.xml><?xml version="1.0" encoding="utf-8"?>
<sst xmlns="http://schemas.openxmlformats.org/spreadsheetml/2006/main" count="139" uniqueCount="103">
  <si>
    <t>押金</t>
    <phoneticPr fontId="3" type="noConversion"/>
  </si>
  <si>
    <t>备注</t>
    <phoneticPr fontId="3" type="noConversion"/>
  </si>
  <si>
    <t>装修</t>
    <phoneticPr fontId="3" type="noConversion"/>
  </si>
  <si>
    <r>
      <rPr>
        <sz val="11"/>
        <color theme="1"/>
        <rFont val="等线"/>
        <family val="2"/>
        <charset val="134"/>
      </rPr>
      <t>总价</t>
    </r>
    <phoneticPr fontId="3" type="noConversion"/>
  </si>
  <si>
    <r>
      <rPr>
        <sz val="11"/>
        <color theme="1"/>
        <rFont val="等线"/>
        <family val="2"/>
        <charset val="134"/>
      </rPr>
      <t>单价</t>
    </r>
    <phoneticPr fontId="3" type="noConversion"/>
  </si>
  <si>
    <r>
      <rPr>
        <sz val="11"/>
        <color theme="1"/>
        <rFont val="等线"/>
        <family val="2"/>
        <charset val="134"/>
      </rPr>
      <t>数量</t>
    </r>
    <phoneticPr fontId="3" type="noConversion"/>
  </si>
  <si>
    <t>宠物固资</t>
    <phoneticPr fontId="3" type="noConversion"/>
  </si>
  <si>
    <t>消耗品</t>
    <phoneticPr fontId="3" type="noConversion"/>
  </si>
  <si>
    <t>月销耗</t>
    <phoneticPr fontId="3" type="noConversion"/>
  </si>
  <si>
    <t>小瑶</t>
    <phoneticPr fontId="3" type="noConversion"/>
  </si>
  <si>
    <t>待定</t>
    <phoneticPr fontId="3" type="noConversion"/>
  </si>
  <si>
    <t>以实际为准</t>
    <phoneticPr fontId="3" type="noConversion"/>
  </si>
  <si>
    <t>会员系统/收款</t>
    <phoneticPr fontId="3" type="noConversion"/>
  </si>
  <si>
    <t>二维码/自作</t>
    <phoneticPr fontId="3" type="noConversion"/>
  </si>
  <si>
    <t>消防设备</t>
    <phoneticPr fontId="3" type="noConversion"/>
  </si>
  <si>
    <t>待现场考察</t>
    <phoneticPr fontId="3" type="noConversion"/>
  </si>
  <si>
    <t>基础设施</t>
    <phoneticPr fontId="3" type="noConversion"/>
  </si>
  <si>
    <t>吧台、沙发、桌子。。。</t>
    <phoneticPr fontId="3" type="noConversion"/>
  </si>
  <si>
    <t>基础设施总价</t>
    <phoneticPr fontId="3" type="noConversion"/>
  </si>
  <si>
    <t>租房总价</t>
    <phoneticPr fontId="3" type="noConversion"/>
  </si>
  <si>
    <t>Category</t>
    <phoneticPr fontId="3" type="noConversion"/>
  </si>
  <si>
    <t>一年租金</t>
    <phoneticPr fontId="3" type="noConversion"/>
  </si>
  <si>
    <t>货比三家</t>
    <phoneticPr fontId="3" type="noConversion"/>
  </si>
  <si>
    <t>证照灯箱招牌</t>
    <phoneticPr fontId="3" type="noConversion"/>
  </si>
  <si>
    <t>营业执照、防疫证、门头、POP</t>
    <phoneticPr fontId="3" type="noConversion"/>
  </si>
  <si>
    <r>
      <rPr>
        <b/>
        <sz val="11"/>
        <color theme="1"/>
        <rFont val="等线"/>
        <family val="2"/>
        <charset val="134"/>
      </rPr>
      <t>项目</t>
    </r>
    <phoneticPr fontId="3" type="noConversion"/>
  </si>
  <si>
    <r>
      <rPr>
        <b/>
        <sz val="11"/>
        <color theme="1"/>
        <rFont val="等线"/>
        <family val="2"/>
        <charset val="134"/>
      </rPr>
      <t>洗护池</t>
    </r>
    <phoneticPr fontId="3" type="noConversion"/>
  </si>
  <si>
    <r>
      <rPr>
        <b/>
        <sz val="11"/>
        <color theme="1"/>
        <rFont val="等线"/>
        <family val="2"/>
        <charset val="134"/>
      </rPr>
      <t>烘干机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等线"/>
        <family val="2"/>
        <charset val="134"/>
      </rPr>
      <t>狗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</si>
  <si>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等线"/>
        <family val="2"/>
        <charset val="134"/>
      </rPr>
      <t>烘干机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等线"/>
        <family val="2"/>
        <charset val="134"/>
      </rPr>
      <t>猫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</si>
  <si>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等线"/>
        <family val="2"/>
        <charset val="134"/>
      </rPr>
      <t>狗笼</t>
    </r>
    <phoneticPr fontId="3" type="noConversion"/>
  </si>
  <si>
    <r>
      <rPr>
        <b/>
        <sz val="11"/>
        <color theme="1"/>
        <rFont val="等线"/>
        <family val="2"/>
        <charset val="134"/>
      </rPr>
      <t>猫笼</t>
    </r>
    <phoneticPr fontId="3" type="noConversion"/>
  </si>
  <si>
    <r>
      <rPr>
        <b/>
        <sz val="11"/>
        <color theme="1"/>
        <rFont val="等线"/>
        <family val="2"/>
        <charset val="134"/>
      </rPr>
      <t>监控</t>
    </r>
    <phoneticPr fontId="3" type="noConversion"/>
  </si>
  <si>
    <r>
      <t>1</t>
    </r>
    <r>
      <rPr>
        <sz val="11"/>
        <color theme="1"/>
        <rFont val="微软雅黑"/>
        <family val="2"/>
        <charset val="134"/>
      </rPr>
      <t>人投资总价</t>
    </r>
    <phoneticPr fontId="3" type="noConversion"/>
  </si>
  <si>
    <t>每月成本</t>
    <phoneticPr fontId="3" type="noConversion"/>
  </si>
  <si>
    <t>每日成本</t>
    <phoneticPr fontId="3" type="noConversion"/>
  </si>
  <si>
    <t>收益率</t>
    <phoneticPr fontId="3" type="noConversion"/>
  </si>
  <si>
    <t>洗护</t>
    <phoneticPr fontId="3" type="noConversion"/>
  </si>
  <si>
    <t>宠物</t>
    <phoneticPr fontId="3" type="noConversion"/>
  </si>
  <si>
    <t>业务</t>
    <phoneticPr fontId="3" type="noConversion"/>
  </si>
  <si>
    <r>
      <t>VIP 800</t>
    </r>
    <r>
      <rPr>
        <sz val="11"/>
        <color theme="1"/>
        <rFont val="宋体"/>
        <family val="2"/>
        <charset val="134"/>
      </rPr>
      <t>充值送两次</t>
    </r>
    <phoneticPr fontId="3" type="noConversion"/>
  </si>
  <si>
    <t>销售量</t>
    <phoneticPr fontId="3" type="noConversion"/>
  </si>
  <si>
    <t>收入金额</t>
    <phoneticPr fontId="3" type="noConversion"/>
  </si>
  <si>
    <t>剪指甲</t>
    <phoneticPr fontId="3" type="noConversion"/>
  </si>
  <si>
    <t>引流</t>
    <phoneticPr fontId="3" type="noConversion"/>
  </si>
  <si>
    <t>寄养/天</t>
    <phoneticPr fontId="3" type="noConversion"/>
  </si>
  <si>
    <t>美容</t>
    <phoneticPr fontId="3" type="noConversion"/>
  </si>
  <si>
    <r>
      <rPr>
        <sz val="11"/>
        <color theme="1"/>
        <rFont val="宋体"/>
        <family val="2"/>
        <charset val="134"/>
      </rPr>
      <t>洗护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2"/>
        <charset val="134"/>
      </rPr>
      <t>130</t>
    </r>
    <phoneticPr fontId="3" type="noConversion"/>
  </si>
  <si>
    <t>宠物用品</t>
    <phoneticPr fontId="3" type="noConversion"/>
  </si>
  <si>
    <t>主销零食和猫粮</t>
    <phoneticPr fontId="3" type="noConversion"/>
  </si>
  <si>
    <t>驱虫</t>
    <phoneticPr fontId="3" type="noConversion"/>
  </si>
  <si>
    <t>疫苗</t>
    <phoneticPr fontId="3" type="noConversion"/>
  </si>
  <si>
    <t>上门喂养</t>
    <phoneticPr fontId="3" type="noConversion"/>
  </si>
  <si>
    <t>每日收入</t>
    <phoneticPr fontId="3" type="noConversion"/>
  </si>
  <si>
    <t>计划</t>
    <phoneticPr fontId="3" type="noConversion"/>
  </si>
  <si>
    <t>其他</t>
    <phoneticPr fontId="3" type="noConversion"/>
  </si>
  <si>
    <t>代理送医</t>
    <phoneticPr fontId="3" type="noConversion"/>
  </si>
  <si>
    <t>人工抽成</t>
    <phoneticPr fontId="3" type="noConversion"/>
  </si>
  <si>
    <t>年净利润</t>
    <phoneticPr fontId="3" type="noConversion"/>
  </si>
  <si>
    <t>年净收益率</t>
    <phoneticPr fontId="3" type="noConversion"/>
  </si>
  <si>
    <t>年总成本</t>
    <phoneticPr fontId="3" type="noConversion"/>
  </si>
  <si>
    <t>目标收益率</t>
    <phoneticPr fontId="3" type="noConversion"/>
  </si>
  <si>
    <t>目标每日收入需求</t>
    <phoneticPr fontId="3" type="noConversion"/>
  </si>
  <si>
    <t>月净利润</t>
    <phoneticPr fontId="3" type="noConversion"/>
  </si>
  <si>
    <t>目标</t>
    <phoneticPr fontId="3" type="noConversion"/>
  </si>
  <si>
    <t>减脂餐</t>
    <phoneticPr fontId="3" type="noConversion"/>
  </si>
  <si>
    <t>人工</t>
    <phoneticPr fontId="3" type="noConversion"/>
  </si>
  <si>
    <t>上门搭电竞房</t>
    <phoneticPr fontId="3" type="noConversion"/>
  </si>
  <si>
    <t>单价纯利润</t>
    <phoneticPr fontId="3" type="noConversion"/>
  </si>
  <si>
    <t>抽成比例V1</t>
    <phoneticPr fontId="3" type="noConversion"/>
  </si>
  <si>
    <t>抽成比例V2</t>
    <phoneticPr fontId="3" type="noConversion"/>
  </si>
  <si>
    <t>V1</t>
    <phoneticPr fontId="3" type="noConversion"/>
  </si>
  <si>
    <t>V2</t>
    <phoneticPr fontId="3" type="noConversion"/>
  </si>
  <si>
    <t>水电气</t>
    <phoneticPr fontId="3" type="noConversion"/>
  </si>
  <si>
    <t>流动资金</t>
    <phoneticPr fontId="3" type="noConversion"/>
  </si>
  <si>
    <t>股份制</t>
    <phoneticPr fontId="3" type="noConversion"/>
  </si>
  <si>
    <t>孙老师</t>
    <phoneticPr fontId="3" type="noConversion"/>
  </si>
  <si>
    <t>王梦瑶</t>
    <phoneticPr fontId="3" type="noConversion"/>
  </si>
  <si>
    <t>陈老师</t>
    <phoneticPr fontId="3" type="noConversion"/>
  </si>
  <si>
    <t>张老师</t>
    <phoneticPr fontId="3" type="noConversion"/>
  </si>
  <si>
    <t>投资金额</t>
    <phoneticPr fontId="3" type="noConversion"/>
  </si>
  <si>
    <t>股份分配</t>
    <phoneticPr fontId="3" type="noConversion"/>
  </si>
  <si>
    <t>赠送梦瑶股权激励</t>
    <phoneticPr fontId="3" type="noConversion"/>
  </si>
  <si>
    <t>初级股东</t>
    <phoneticPr fontId="3" type="noConversion"/>
  </si>
  <si>
    <t>补充说明：</t>
    <phoneticPr fontId="3" type="noConversion"/>
  </si>
  <si>
    <t>初级股东享受原始股份，后续要加入的合伙人或投资者，只能向原始股东买股份。</t>
    <phoneticPr fontId="3" type="noConversion"/>
  </si>
  <si>
    <t>股份发生变更必须得通过股东决议，股份大于50%的。</t>
    <phoneticPr fontId="3" type="noConversion"/>
  </si>
  <si>
    <t>周边</t>
    <phoneticPr fontId="3" type="noConversion"/>
  </si>
  <si>
    <t>学生资源</t>
    <phoneticPr fontId="3" type="noConversion"/>
  </si>
  <si>
    <t>家长资源</t>
    <phoneticPr fontId="3" type="noConversion"/>
  </si>
  <si>
    <t>金额配置股份</t>
    <phoneticPr fontId="3" type="noConversion"/>
  </si>
  <si>
    <t>财务，质量</t>
    <phoneticPr fontId="3" type="noConversion"/>
  </si>
  <si>
    <t>明星周边</t>
    <phoneticPr fontId="3" type="noConversion"/>
  </si>
  <si>
    <t>技术，运营，供应链</t>
    <phoneticPr fontId="3" type="noConversion"/>
  </si>
  <si>
    <r>
      <rPr>
        <b/>
        <sz val="11"/>
        <color theme="1"/>
        <rFont val="宋体"/>
        <family val="2"/>
        <charset val="134"/>
      </rPr>
      <t>青年</t>
    </r>
    <r>
      <rPr>
        <b/>
        <sz val="11"/>
        <color theme="1"/>
        <rFont val="Arial"/>
        <family val="2"/>
      </rPr>
      <t>AI</t>
    </r>
    <r>
      <rPr>
        <b/>
        <sz val="11"/>
        <color theme="1"/>
        <rFont val="宋体"/>
        <family val="2"/>
        <charset val="134"/>
      </rPr>
      <t>培训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宋体"/>
        <family val="2"/>
        <charset val="134"/>
      </rPr>
      <t>节课</t>
    </r>
    <phoneticPr fontId="3" type="noConversion"/>
  </si>
  <si>
    <t>商品</t>
    <phoneticPr fontId="3" type="noConversion"/>
  </si>
  <si>
    <t>咖啡/手打柠檬茶/下午茶</t>
    <phoneticPr fontId="3" type="noConversion"/>
  </si>
  <si>
    <r>
      <t>9.9</t>
    </r>
    <r>
      <rPr>
        <sz val="11"/>
        <color theme="1"/>
        <rFont val="宋体"/>
        <family val="2"/>
        <charset val="134"/>
      </rPr>
      <t>一倍</t>
    </r>
    <phoneticPr fontId="3" type="noConversion"/>
  </si>
  <si>
    <t>LIN舍私域</t>
    <phoneticPr fontId="3" type="noConversion"/>
  </si>
  <si>
    <t>单身活动策划</t>
    <phoneticPr fontId="3" type="noConversion"/>
  </si>
  <si>
    <t>直播远程喂猫</t>
    <phoneticPr fontId="3" type="noConversion"/>
  </si>
  <si>
    <t>厂家合作</t>
  </si>
  <si>
    <t>活动</t>
    <phoneticPr fontId="3" type="noConversion"/>
  </si>
  <si>
    <t>技术，审计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</si>
</sst>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charset val="134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等线"/>
      <family val="2"/>
      <charset val="134"/>
    </font>
    <font>
      <b/>
      <sz val="18"/>
      <color theme="1"/>
      <name val="等线"/>
      <family val="2"/>
      <charset val="134"/>
    </font>
    <font>
      <b/>
      <sz val="18"/>
      <color rgb="FFFF0000"/>
      <name val="Arial"/>
      <family val="2"/>
    </font>
    <font>
      <sz val="11"/>
      <color theme="1"/>
      <name val="宋体"/>
      <family val="2"/>
      <charset val="134"/>
    </font>
    <font>
      <sz val="11"/>
      <color rgb="FFFF0000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0000FF"/>
      <name val="等线"/>
      <family val="2"/>
      <charset val="134"/>
    </font>
    <font>
      <sz val="12"/>
      <color theme="1"/>
      <name val="Arial"/>
      <family val="2"/>
    </font>
    <font>
      <b/>
      <sz val="18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15" fillId="0" borderId="1" xfId="0" applyFont="1" applyBorder="1">
      <alignment vertical="center"/>
    </xf>
    <xf numFmtId="176" fontId="4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0" fontId="11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1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2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3" borderId="3" xfId="0" applyFont="1" applyFill="1" applyBorder="1">
      <alignment vertical="center"/>
    </xf>
    <xf numFmtId="9" fontId="20" fillId="0" borderId="4" xfId="1" applyFont="1" applyBorder="1">
      <alignment vertical="center"/>
    </xf>
    <xf numFmtId="0" fontId="19" fillId="0" borderId="5" xfId="0" applyFont="1" applyBorder="1">
      <alignment vertical="center"/>
    </xf>
    <xf numFmtId="0" fontId="21" fillId="0" borderId="6" xfId="0" applyFont="1" applyBorder="1">
      <alignment vertical="center"/>
    </xf>
    <xf numFmtId="0" fontId="10" fillId="3" borderId="7" xfId="0" applyFont="1" applyFill="1" applyBorder="1">
      <alignment vertical="center"/>
    </xf>
    <xf numFmtId="1" fontId="20" fillId="0" borderId="8" xfId="0" applyNumberFormat="1" applyFont="1" applyBorder="1">
      <alignment vertical="center"/>
    </xf>
    <xf numFmtId="0" fontId="10" fillId="3" borderId="3" xfId="0" applyFont="1" applyFill="1" applyBorder="1" applyAlignment="1">
      <alignment horizontal="center" vertical="center"/>
    </xf>
    <xf numFmtId="9" fontId="12" fillId="0" borderId="4" xfId="1" applyFont="1" applyBorder="1">
      <alignment vertical="center"/>
    </xf>
    <xf numFmtId="0" fontId="19" fillId="0" borderId="5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10" fillId="3" borderId="7" xfId="0" applyFont="1" applyFill="1" applyBorder="1" applyAlignment="1">
      <alignment horizontal="center" vertical="center"/>
    </xf>
    <xf numFmtId="1" fontId="12" fillId="0" borderId="8" xfId="0" applyNumberFormat="1" applyFont="1" applyBorder="1">
      <alignment vertical="center"/>
    </xf>
    <xf numFmtId="1" fontId="12" fillId="0" borderId="4" xfId="0" applyNumberFormat="1" applyFont="1" applyBorder="1">
      <alignment vertical="center"/>
    </xf>
    <xf numFmtId="0" fontId="10" fillId="3" borderId="5" xfId="0" applyFont="1" applyFill="1" applyBorder="1" applyAlignment="1">
      <alignment horizontal="center" vertical="center"/>
    </xf>
    <xf numFmtId="9" fontId="12" fillId="0" borderId="6" xfId="1" applyFont="1" applyBorder="1">
      <alignment vertical="center"/>
    </xf>
    <xf numFmtId="1" fontId="12" fillId="0" borderId="6" xfId="0" applyNumberFormat="1" applyFont="1" applyBorder="1">
      <alignment vertical="center"/>
    </xf>
    <xf numFmtId="0" fontId="4" fillId="0" borderId="5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4" fillId="0" borderId="0" xfId="0" applyNumberFormat="1" applyFont="1">
      <alignment vertical="center"/>
    </xf>
    <xf numFmtId="177" fontId="4" fillId="0" borderId="0" xfId="1" applyNumberFormat="1" applyFont="1">
      <alignment vertical="center"/>
    </xf>
    <xf numFmtId="10" fontId="4" fillId="0" borderId="0" xfId="0" applyNumberFormat="1" applyFont="1">
      <alignment vertical="center"/>
    </xf>
    <xf numFmtId="9" fontId="4" fillId="0" borderId="1" xfId="0" applyNumberFormat="1" applyFont="1" applyBorder="1">
      <alignment vertical="center"/>
    </xf>
    <xf numFmtId="177" fontId="4" fillId="0" borderId="1" xfId="1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13" fillId="0" borderId="0" xfId="0" applyFont="1" applyBorder="1">
      <alignment vertical="center"/>
    </xf>
    <xf numFmtId="177" fontId="4" fillId="0" borderId="0" xfId="1" applyNumberFormat="1" applyFont="1" applyBorder="1">
      <alignment vertical="center"/>
    </xf>
    <xf numFmtId="10" fontId="4" fillId="0" borderId="0" xfId="0" applyNumberFormat="1" applyFont="1" applyBorder="1">
      <alignment vertical="center"/>
    </xf>
    <xf numFmtId="9" fontId="4" fillId="0" borderId="0" xfId="0" applyNumberFormat="1" applyFont="1" applyBorder="1">
      <alignment vertical="center"/>
    </xf>
    <xf numFmtId="177" fontId="13" fillId="0" borderId="0" xfId="1" applyNumberFormat="1" applyFont="1" applyBorder="1">
      <alignment vertical="center"/>
    </xf>
    <xf numFmtId="10" fontId="13" fillId="0" borderId="0" xfId="0" applyNumberFormat="1" applyFont="1" applyBorder="1">
      <alignment vertical="center"/>
    </xf>
    <xf numFmtId="9" fontId="13" fillId="0" borderId="0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3" fillId="0" borderId="1" xfId="0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5C05-4E67-49E0-A64F-E4A9E937A7F9}">
  <dimension ref="A1:W51"/>
  <sheetViews>
    <sheetView showGridLines="0" tabSelected="1" zoomScaleNormal="100" workbookViewId="0">
      <selection activeCell="F19" sqref="F19"/>
    </sheetView>
  </sheetViews>
  <sheetFormatPr defaultRowHeight="13.8" x14ac:dyDescent="0.25"/>
  <cols>
    <col min="1" max="1" width="15.88671875" style="3" customWidth="1"/>
    <col min="2" max="2" width="12" style="1" customWidth="1"/>
    <col min="3" max="3" width="8.88671875" style="1"/>
    <col min="4" max="4" width="15" style="1" customWidth="1"/>
    <col min="5" max="5" width="19.33203125" style="1" customWidth="1"/>
    <col min="6" max="6" width="20.77734375" style="53" customWidth="1"/>
    <col min="7" max="7" width="11" style="52" customWidth="1"/>
    <col min="8" max="8" width="10.44140625" style="12" customWidth="1"/>
    <col min="9" max="9" width="11.5546875" style="2" bestFit="1" customWidth="1"/>
    <col min="10" max="11" width="8.88671875" style="2"/>
    <col min="12" max="12" width="15.77734375" style="1" bestFit="1" customWidth="1"/>
    <col min="13" max="13" width="18.77734375" style="1" bestFit="1" customWidth="1"/>
    <col min="14" max="14" width="8.88671875" style="1"/>
    <col min="15" max="15" width="14.21875" style="3" customWidth="1"/>
    <col min="16" max="16" width="11" style="1" customWidth="1"/>
    <col min="17" max="17" width="8.88671875" style="1"/>
    <col min="18" max="18" width="12" style="19" customWidth="1"/>
    <col min="19" max="19" width="13" style="1" customWidth="1"/>
    <col min="20" max="20" width="8.88671875" style="1"/>
    <col min="21" max="21" width="19.6640625" style="1" customWidth="1"/>
    <col min="22" max="22" width="18.21875" style="1" customWidth="1"/>
    <col min="23" max="16384" width="8.88671875" style="1"/>
  </cols>
  <sheetData>
    <row r="1" spans="1:23" ht="29.4" customHeight="1" x14ac:dyDescent="0.25">
      <c r="A1" s="16" t="s">
        <v>19</v>
      </c>
      <c r="B1" s="4">
        <f>B12+B13</f>
        <v>88000</v>
      </c>
      <c r="G1" s="1"/>
      <c r="H1" s="16" t="s">
        <v>18</v>
      </c>
      <c r="I1" s="4">
        <f>SUM(K12:K102)</f>
        <v>22200</v>
      </c>
      <c r="J1" s="1"/>
      <c r="K1" s="1"/>
      <c r="L1" s="16" t="s">
        <v>32</v>
      </c>
      <c r="M1" s="15">
        <f>($B$1+$I$1+$B$3)/3</f>
        <v>39400</v>
      </c>
      <c r="O1" s="22" t="s">
        <v>63</v>
      </c>
      <c r="R1" s="23" t="s">
        <v>53</v>
      </c>
      <c r="U1" s="31" t="s">
        <v>59</v>
      </c>
      <c r="V1" s="37">
        <f>$B$1+$I$1+$B$3</f>
        <v>118200</v>
      </c>
      <c r="W1" s="1">
        <f>V1/3</f>
        <v>39400</v>
      </c>
    </row>
    <row r="2" spans="1:23" ht="16.2" thickBot="1" x14ac:dyDescent="0.3">
      <c r="G2" s="1"/>
      <c r="H2" s="9"/>
      <c r="I2" s="1"/>
      <c r="K2" s="1"/>
      <c r="L2" s="8"/>
      <c r="M2" s="14"/>
      <c r="O2" s="42"/>
      <c r="R2" s="24"/>
      <c r="U2" s="27"/>
      <c r="V2" s="34"/>
    </row>
    <row r="3" spans="1:23" ht="22.8" x14ac:dyDescent="0.25">
      <c r="A3" s="16" t="s">
        <v>73</v>
      </c>
      <c r="B3" s="4">
        <v>8000</v>
      </c>
      <c r="G3" s="1"/>
      <c r="H3" s="3"/>
      <c r="I3" s="1"/>
      <c r="J3" s="1"/>
      <c r="K3" s="1"/>
      <c r="L3" s="16" t="s">
        <v>33</v>
      </c>
      <c r="M3" s="15">
        <f>($B$1+$I$1+$B$3)/12</f>
        <v>9850</v>
      </c>
      <c r="O3" s="25" t="s">
        <v>60</v>
      </c>
      <c r="P3" s="26">
        <f>P5/M5</f>
        <v>2.2842639593908629</v>
      </c>
      <c r="R3" s="31" t="s">
        <v>35</v>
      </c>
      <c r="S3" s="32">
        <f>S5/M5</f>
        <v>2.1304568527918781</v>
      </c>
      <c r="U3" s="38" t="s">
        <v>58</v>
      </c>
      <c r="V3" s="39">
        <f>V5/V1</f>
        <v>1.1461576424139877</v>
      </c>
    </row>
    <row r="4" spans="1:23" ht="15.6" x14ac:dyDescent="0.25">
      <c r="G4" s="1"/>
      <c r="H4" s="3"/>
      <c r="I4" s="1"/>
      <c r="J4" s="1"/>
      <c r="K4" s="1"/>
      <c r="M4" s="14"/>
      <c r="O4" s="43"/>
      <c r="P4" s="28"/>
      <c r="R4" s="33"/>
      <c r="S4" s="34"/>
      <c r="U4" s="27"/>
      <c r="V4" s="34"/>
    </row>
    <row r="5" spans="1:23" ht="23.4" thickBot="1" x14ac:dyDescent="0.3">
      <c r="G5" s="1"/>
      <c r="H5" s="3"/>
      <c r="I5" s="1"/>
      <c r="J5" s="1"/>
      <c r="K5" s="1"/>
      <c r="L5" s="16" t="s">
        <v>34</v>
      </c>
      <c r="M5" s="21">
        <f>M3/30</f>
        <v>328.33333333333331</v>
      </c>
      <c r="O5" s="29" t="s">
        <v>61</v>
      </c>
      <c r="P5" s="30">
        <v>750</v>
      </c>
      <c r="R5" s="35" t="s">
        <v>52</v>
      </c>
      <c r="S5" s="36">
        <f>SUM(S12:S986)</f>
        <v>699.5</v>
      </c>
      <c r="U5" s="38" t="s">
        <v>57</v>
      </c>
      <c r="V5" s="40">
        <f>(S5-M5)*365</f>
        <v>135475.83333333334</v>
      </c>
    </row>
    <row r="6" spans="1:23" x14ac:dyDescent="0.25">
      <c r="G6" s="1"/>
      <c r="H6" s="3"/>
      <c r="I6" s="1"/>
      <c r="J6" s="1"/>
      <c r="K6" s="1"/>
      <c r="U6" s="41"/>
      <c r="V6" s="34"/>
    </row>
    <row r="7" spans="1:23" ht="23.4" thickBot="1" x14ac:dyDescent="0.3">
      <c r="G7" s="1"/>
      <c r="H7" s="3"/>
      <c r="I7" s="1"/>
      <c r="J7" s="1"/>
      <c r="K7" s="1"/>
      <c r="U7" s="35" t="s">
        <v>62</v>
      </c>
      <c r="V7" s="36">
        <f>V5/12</f>
        <v>11289.652777777779</v>
      </c>
    </row>
    <row r="8" spans="1:23" x14ac:dyDescent="0.25">
      <c r="G8" s="1"/>
      <c r="H8" s="3"/>
      <c r="I8" s="1"/>
      <c r="J8" s="1"/>
      <c r="K8" s="1"/>
    </row>
    <row r="9" spans="1:23" ht="14.4" x14ac:dyDescent="0.25">
      <c r="G9" s="1"/>
      <c r="H9" s="3"/>
      <c r="I9" s="1"/>
      <c r="J9" s="1"/>
      <c r="K9" s="1"/>
      <c r="O9" s="44" t="s">
        <v>68</v>
      </c>
      <c r="P9" s="44" t="s">
        <v>69</v>
      </c>
    </row>
    <row r="10" spans="1:23" ht="14.4" x14ac:dyDescent="0.25">
      <c r="G10" s="1"/>
      <c r="H10" s="3"/>
      <c r="I10" s="1"/>
      <c r="J10" s="1"/>
      <c r="K10" s="1"/>
      <c r="N10" s="8"/>
      <c r="O10" s="45">
        <v>0.3</v>
      </c>
      <c r="P10" s="45">
        <v>0.5</v>
      </c>
    </row>
    <row r="11" spans="1:23" ht="14.4" x14ac:dyDescent="0.25">
      <c r="A11" s="10" t="s">
        <v>20</v>
      </c>
      <c r="B11" s="2" t="s">
        <v>4</v>
      </c>
      <c r="C11" s="8" t="s">
        <v>1</v>
      </c>
      <c r="G11" s="2" t="s">
        <v>20</v>
      </c>
      <c r="H11" s="10" t="s">
        <v>25</v>
      </c>
      <c r="I11" s="2" t="s">
        <v>4</v>
      </c>
      <c r="J11" s="2" t="s">
        <v>5</v>
      </c>
      <c r="K11" s="2" t="s">
        <v>3</v>
      </c>
      <c r="L11" s="8" t="s">
        <v>1</v>
      </c>
      <c r="N11" s="5" t="s">
        <v>38</v>
      </c>
      <c r="O11" s="10" t="s">
        <v>25</v>
      </c>
      <c r="P11" s="17" t="s">
        <v>67</v>
      </c>
      <c r="Q11" s="17" t="s">
        <v>40</v>
      </c>
      <c r="R11" s="20" t="s">
        <v>56</v>
      </c>
      <c r="S11" s="17" t="s">
        <v>41</v>
      </c>
    </row>
    <row r="12" spans="1:23" ht="14.4" x14ac:dyDescent="0.25">
      <c r="A12" s="13" t="s">
        <v>21</v>
      </c>
      <c r="B12" s="2">
        <v>80000</v>
      </c>
      <c r="C12" s="8" t="s">
        <v>22</v>
      </c>
      <c r="G12" s="5" t="s">
        <v>6</v>
      </c>
      <c r="H12" s="10" t="s">
        <v>26</v>
      </c>
      <c r="I12" s="2">
        <v>500</v>
      </c>
      <c r="J12" s="2">
        <v>1</v>
      </c>
      <c r="K12" s="2">
        <f>I12*J12</f>
        <v>500</v>
      </c>
      <c r="N12" s="5" t="s">
        <v>37</v>
      </c>
      <c r="O12" s="10" t="s">
        <v>36</v>
      </c>
      <c r="P12" s="2">
        <v>100</v>
      </c>
      <c r="Q12" s="17">
        <v>3</v>
      </c>
      <c r="R12" s="20" t="s">
        <v>70</v>
      </c>
      <c r="S12" s="17">
        <f>_xlfn.IFS(R12="V1",P12*Q12*(1-$O$10),R12="V2",P12*Q12*(1-$P$10),R12="",P12*Q12)</f>
        <v>210</v>
      </c>
      <c r="T12" s="1" t="s">
        <v>39</v>
      </c>
    </row>
    <row r="13" spans="1:23" ht="14.4" x14ac:dyDescent="0.25">
      <c r="A13" s="13" t="s">
        <v>0</v>
      </c>
      <c r="B13" s="2">
        <v>8000</v>
      </c>
      <c r="C13" s="1">
        <v>8000</v>
      </c>
      <c r="G13" s="5" t="s">
        <v>6</v>
      </c>
      <c r="H13" s="10" t="s">
        <v>27</v>
      </c>
      <c r="I13" s="2">
        <v>1200</v>
      </c>
      <c r="J13" s="2">
        <v>1</v>
      </c>
      <c r="K13" s="2">
        <f t="shared" ref="K13:K24" si="0">I13*J13</f>
        <v>1200</v>
      </c>
      <c r="N13" s="5" t="s">
        <v>37</v>
      </c>
      <c r="O13" s="10" t="s">
        <v>42</v>
      </c>
      <c r="P13" s="2">
        <v>10</v>
      </c>
      <c r="Q13" s="17">
        <v>3</v>
      </c>
      <c r="R13" s="20" t="s">
        <v>70</v>
      </c>
      <c r="S13" s="17">
        <f>_xlfn.IFS(R13="V1",P13*Q13*(1-$O$10),R13="V2",P13*Q13*(1-$P$10),R13="",P13*Q13)</f>
        <v>21</v>
      </c>
      <c r="T13" s="8" t="s">
        <v>43</v>
      </c>
    </row>
    <row r="14" spans="1:23" ht="14.4" x14ac:dyDescent="0.25">
      <c r="G14" s="5" t="s">
        <v>6</v>
      </c>
      <c r="H14" s="10" t="s">
        <v>28</v>
      </c>
      <c r="I14" s="2">
        <v>250</v>
      </c>
      <c r="J14" s="2">
        <v>1</v>
      </c>
      <c r="K14" s="2">
        <f t="shared" si="0"/>
        <v>250</v>
      </c>
      <c r="N14" s="5" t="s">
        <v>37</v>
      </c>
      <c r="O14" s="10" t="s">
        <v>44</v>
      </c>
      <c r="P14" s="2">
        <v>50</v>
      </c>
      <c r="Q14" s="17">
        <v>0</v>
      </c>
      <c r="R14" s="20"/>
      <c r="S14" s="17">
        <f>_xlfn.IFS(R14="V1",P14*Q14*(1-$O$10),R14="V2",P14*Q14*(1-$P$10),R14="",P14*Q14)</f>
        <v>0</v>
      </c>
    </row>
    <row r="15" spans="1:23" ht="14.4" x14ac:dyDescent="0.25">
      <c r="G15" s="5" t="s">
        <v>6</v>
      </c>
      <c r="H15" s="10" t="s">
        <v>29</v>
      </c>
      <c r="I15" s="2">
        <v>100</v>
      </c>
      <c r="J15" s="2">
        <v>2</v>
      </c>
      <c r="K15" s="2">
        <f t="shared" si="0"/>
        <v>200</v>
      </c>
      <c r="N15" s="5" t="s">
        <v>37</v>
      </c>
      <c r="O15" s="10" t="s">
        <v>45</v>
      </c>
      <c r="P15" s="2">
        <v>100</v>
      </c>
      <c r="Q15" s="17">
        <v>1</v>
      </c>
      <c r="R15" s="20" t="s">
        <v>70</v>
      </c>
      <c r="S15" s="17">
        <f>_xlfn.IFS(R15="V1",P15*Q15*(1-$O$10),R15="V2",P15*Q15*(1-$P$10),R15="",P15*Q15)</f>
        <v>70</v>
      </c>
      <c r="T15" s="18" t="s">
        <v>46</v>
      </c>
    </row>
    <row r="16" spans="1:23" ht="14.4" x14ac:dyDescent="0.25">
      <c r="A16" s="10"/>
      <c r="B16" s="2">
        <v>120000</v>
      </c>
      <c r="C16" s="2"/>
      <c r="D16" s="2"/>
      <c r="E16" s="2"/>
      <c r="G16" s="5" t="s">
        <v>6</v>
      </c>
      <c r="H16" s="10" t="s">
        <v>30</v>
      </c>
      <c r="I16" s="2">
        <v>50</v>
      </c>
      <c r="J16" s="2">
        <v>4</v>
      </c>
      <c r="K16" s="2">
        <f t="shared" si="0"/>
        <v>200</v>
      </c>
      <c r="N16" s="5" t="s">
        <v>37</v>
      </c>
      <c r="O16" s="10" t="s">
        <v>49</v>
      </c>
      <c r="P16" s="2">
        <v>50</v>
      </c>
      <c r="Q16" s="17">
        <v>1</v>
      </c>
      <c r="R16" s="20" t="s">
        <v>70</v>
      </c>
      <c r="S16" s="17">
        <f>_xlfn.IFS(R16="V1",P16*Q16*(1-$O$10),R16="V2",P16*Q16*(1-$P$10),R16="",P16*Q16)</f>
        <v>35</v>
      </c>
    </row>
    <row r="17" spans="1:20" ht="14.4" x14ac:dyDescent="0.25">
      <c r="A17" s="13" t="s">
        <v>74</v>
      </c>
      <c r="B17" s="5" t="s">
        <v>79</v>
      </c>
      <c r="C17" s="5" t="s">
        <v>80</v>
      </c>
      <c r="D17" s="5" t="s">
        <v>89</v>
      </c>
      <c r="E17" s="5" t="s">
        <v>81</v>
      </c>
      <c r="F17" s="54"/>
      <c r="G17" s="5" t="s">
        <v>6</v>
      </c>
      <c r="H17" s="10" t="s">
        <v>31</v>
      </c>
      <c r="I17" s="2">
        <v>200</v>
      </c>
      <c r="J17" s="2">
        <v>3</v>
      </c>
      <c r="K17" s="2">
        <f t="shared" si="0"/>
        <v>600</v>
      </c>
      <c r="N17" s="5" t="s">
        <v>37</v>
      </c>
      <c r="O17" s="10" t="s">
        <v>50</v>
      </c>
      <c r="P17" s="2">
        <v>50</v>
      </c>
      <c r="Q17" s="17">
        <v>1</v>
      </c>
      <c r="R17" s="20" t="s">
        <v>70</v>
      </c>
      <c r="S17" s="17">
        <f>_xlfn.IFS(R17="V1",P17*Q17*(1-$O$10),R17="V2",P17*Q17*(1-$P$10),R17="",P17*Q17)</f>
        <v>35</v>
      </c>
      <c r="T17" s="8" t="s">
        <v>48</v>
      </c>
    </row>
    <row r="18" spans="1:20" ht="14.4" x14ac:dyDescent="0.25">
      <c r="A18" s="13" t="s">
        <v>75</v>
      </c>
      <c r="B18" s="2">
        <v>51000</v>
      </c>
      <c r="C18" s="49">
        <v>0.4</v>
      </c>
      <c r="D18" s="50">
        <f>B18/$B$16</f>
        <v>0.42499999999999999</v>
      </c>
      <c r="E18" s="50">
        <v>2.5000000000000001E-2</v>
      </c>
      <c r="F18" s="58" t="s">
        <v>92</v>
      </c>
      <c r="G18" s="6" t="s">
        <v>16</v>
      </c>
      <c r="H18" s="11" t="s">
        <v>17</v>
      </c>
      <c r="I18" s="7">
        <v>2000</v>
      </c>
      <c r="J18" s="7">
        <v>1</v>
      </c>
      <c r="K18" s="7">
        <f t="shared" si="0"/>
        <v>2000</v>
      </c>
      <c r="L18" s="8" t="s">
        <v>10</v>
      </c>
      <c r="N18" s="5" t="s">
        <v>37</v>
      </c>
      <c r="O18" s="10" t="s">
        <v>51</v>
      </c>
      <c r="P18" s="2">
        <v>30</v>
      </c>
      <c r="Q18" s="17">
        <v>1</v>
      </c>
      <c r="R18" s="20" t="s">
        <v>70</v>
      </c>
      <c r="S18" s="17">
        <f>_xlfn.IFS(R18="V1",P18*Q18*(1-$O$10),R18="V2",P18*Q18*(1-$P$10),R18="",P18*Q18)</f>
        <v>21</v>
      </c>
    </row>
    <row r="19" spans="1:20" ht="14.4" x14ac:dyDescent="0.25">
      <c r="A19" s="13" t="s">
        <v>76</v>
      </c>
      <c r="B19" s="2"/>
      <c r="C19" s="49">
        <v>0.05</v>
      </c>
      <c r="D19" s="50"/>
      <c r="E19" s="50"/>
      <c r="F19" s="55"/>
      <c r="G19" s="6" t="s">
        <v>7</v>
      </c>
      <c r="H19" s="11" t="s">
        <v>8</v>
      </c>
      <c r="I19" s="7">
        <v>500</v>
      </c>
      <c r="J19" s="7">
        <v>3</v>
      </c>
      <c r="K19" s="7">
        <f t="shared" si="0"/>
        <v>1500</v>
      </c>
      <c r="L19" s="8" t="s">
        <v>9</v>
      </c>
      <c r="N19" s="5" t="s">
        <v>37</v>
      </c>
      <c r="O19" s="10" t="s">
        <v>55</v>
      </c>
      <c r="P19" s="2">
        <v>200</v>
      </c>
      <c r="Q19" s="17">
        <v>0.1</v>
      </c>
      <c r="R19" s="20" t="s">
        <v>71</v>
      </c>
      <c r="S19" s="17">
        <f>_xlfn.IFS(R19="V1",P19*Q19*(1-$O$10),R19="V2",P19*Q19*(1-$P$10),R19="",P19*Q19)</f>
        <v>10</v>
      </c>
    </row>
    <row r="20" spans="1:20" ht="14.4" x14ac:dyDescent="0.25">
      <c r="A20" s="13" t="s">
        <v>77</v>
      </c>
      <c r="B20" s="2">
        <v>39000</v>
      </c>
      <c r="C20" s="49">
        <v>0.31</v>
      </c>
      <c r="D20" s="50">
        <f t="shared" ref="D20:D21" si="1">B20/$B$16</f>
        <v>0.32500000000000001</v>
      </c>
      <c r="E20" s="51">
        <v>1.4999999999999999E-2</v>
      </c>
      <c r="F20" s="59" t="s">
        <v>90</v>
      </c>
      <c r="G20" s="5" t="s">
        <v>23</v>
      </c>
      <c r="H20" s="10" t="s">
        <v>24</v>
      </c>
      <c r="I20" s="2">
        <v>7000</v>
      </c>
      <c r="J20" s="2">
        <v>1</v>
      </c>
      <c r="K20" s="2">
        <f t="shared" si="0"/>
        <v>7000</v>
      </c>
      <c r="L20" s="8" t="s">
        <v>11</v>
      </c>
      <c r="N20" s="5" t="s">
        <v>101</v>
      </c>
      <c r="O20" s="13" t="s">
        <v>98</v>
      </c>
      <c r="P20" s="2"/>
      <c r="Q20" s="2"/>
      <c r="R20" s="61"/>
      <c r="S20" s="2"/>
    </row>
    <row r="21" spans="1:20" ht="16.2" x14ac:dyDescent="0.25">
      <c r="A21" s="13" t="s">
        <v>78</v>
      </c>
      <c r="B21" s="2">
        <v>30000</v>
      </c>
      <c r="C21" s="49">
        <v>0.24</v>
      </c>
      <c r="D21" s="50">
        <f t="shared" si="1"/>
        <v>0.25</v>
      </c>
      <c r="E21" s="49">
        <v>0.01</v>
      </c>
      <c r="F21" s="60" t="s">
        <v>102</v>
      </c>
      <c r="G21" s="5" t="s">
        <v>12</v>
      </c>
      <c r="H21" s="10" t="s">
        <v>13</v>
      </c>
      <c r="I21" s="2">
        <v>50</v>
      </c>
      <c r="J21" s="2">
        <v>1</v>
      </c>
      <c r="K21" s="2">
        <f t="shared" si="0"/>
        <v>50</v>
      </c>
      <c r="N21" s="5" t="s">
        <v>54</v>
      </c>
      <c r="O21" s="63" t="s">
        <v>99</v>
      </c>
      <c r="P21" s="2">
        <v>0</v>
      </c>
      <c r="Q21" s="17">
        <v>0</v>
      </c>
      <c r="R21" s="20"/>
      <c r="S21" s="17">
        <f>_xlfn.IFS(R21="V1",P21*Q21*(1-$O$10),R21="V2",P21*Q21*(1-$P$10),R21="",P21*Q21)</f>
        <v>0</v>
      </c>
    </row>
    <row r="22" spans="1:20" ht="14.4" x14ac:dyDescent="0.25">
      <c r="A22" s="9"/>
      <c r="E22" s="48"/>
      <c r="F22" s="56"/>
      <c r="G22" s="5" t="s">
        <v>14</v>
      </c>
      <c r="H22" s="10"/>
      <c r="I22" s="2">
        <v>200</v>
      </c>
      <c r="J22" s="2">
        <v>1</v>
      </c>
      <c r="K22" s="2">
        <f t="shared" si="0"/>
        <v>200</v>
      </c>
      <c r="N22" s="5" t="s">
        <v>65</v>
      </c>
      <c r="O22" s="10" t="s">
        <v>64</v>
      </c>
      <c r="P22" s="2">
        <v>5</v>
      </c>
      <c r="Q22" s="17">
        <v>20</v>
      </c>
      <c r="R22" s="20" t="s">
        <v>70</v>
      </c>
      <c r="S22" s="17">
        <f>_xlfn.IFS(R22="V1",P22*Q22*(1-$O$10),R22="V2",P22*Q22*(1-$P$10),R22="",P22*Q22)</f>
        <v>70</v>
      </c>
      <c r="T22" s="8" t="s">
        <v>97</v>
      </c>
    </row>
    <row r="23" spans="1:20" ht="14.4" x14ac:dyDescent="0.25">
      <c r="G23" s="5" t="s">
        <v>2</v>
      </c>
      <c r="H23" s="10"/>
      <c r="I23" s="2">
        <v>8000</v>
      </c>
      <c r="J23" s="2">
        <v>1</v>
      </c>
      <c r="K23" s="2">
        <f t="shared" si="0"/>
        <v>8000</v>
      </c>
      <c r="L23" s="8" t="s">
        <v>15</v>
      </c>
      <c r="N23" s="5" t="s">
        <v>65</v>
      </c>
      <c r="O23" s="10" t="s">
        <v>66</v>
      </c>
      <c r="P23" s="2">
        <v>200</v>
      </c>
      <c r="Q23" s="17">
        <v>0.125</v>
      </c>
      <c r="R23" s="20" t="s">
        <v>71</v>
      </c>
      <c r="S23" s="17">
        <f>_xlfn.IFS(R23="V1",P23*Q23*(1-$O$10),R23="V2",P23*Q23*(1-$P$10),R23="",P23*Q23)</f>
        <v>12.5</v>
      </c>
    </row>
    <row r="24" spans="1:20" ht="14.4" x14ac:dyDescent="0.25">
      <c r="A24" s="9"/>
      <c r="B24" s="8"/>
      <c r="C24" s="8"/>
      <c r="E24" s="8"/>
      <c r="F24" s="54"/>
      <c r="G24" s="5" t="s">
        <v>72</v>
      </c>
      <c r="H24" s="10"/>
      <c r="I24" s="2">
        <v>500</v>
      </c>
      <c r="J24" s="2">
        <v>1</v>
      </c>
      <c r="K24" s="2">
        <f t="shared" si="0"/>
        <v>500</v>
      </c>
      <c r="N24" s="5" t="s">
        <v>94</v>
      </c>
      <c r="O24" s="10" t="s">
        <v>47</v>
      </c>
      <c r="P24" s="2">
        <v>0</v>
      </c>
      <c r="Q24" s="17">
        <v>0</v>
      </c>
      <c r="R24" s="20"/>
      <c r="S24" s="17">
        <f>_xlfn.IFS(R24="V1",P24*Q24*(1-$O$10),R24="V2",P24*Q24*(1-$P$10),R24="",P24*Q24)</f>
        <v>0</v>
      </c>
      <c r="T24" s="1" t="s">
        <v>100</v>
      </c>
    </row>
    <row r="25" spans="1:20" ht="14.4" x14ac:dyDescent="0.25">
      <c r="A25" s="9" t="s">
        <v>82</v>
      </c>
      <c r="C25" s="46"/>
      <c r="D25" s="47"/>
      <c r="E25" s="47"/>
      <c r="F25" s="55"/>
      <c r="G25" s="2"/>
      <c r="N25" s="5" t="s">
        <v>94</v>
      </c>
      <c r="O25" s="10" t="s">
        <v>87</v>
      </c>
      <c r="P25" s="2"/>
      <c r="Q25" s="17"/>
      <c r="R25" s="20"/>
      <c r="S25" s="17">
        <f>_xlfn.IFS(R25="V1",P25*Q25*(1-$O$10),R25="V2",P25*Q25*(1-$P$10),R25="",P25*Q25)</f>
        <v>0</v>
      </c>
    </row>
    <row r="26" spans="1:20" ht="14.4" x14ac:dyDescent="0.25">
      <c r="A26" s="13" t="s">
        <v>75</v>
      </c>
      <c r="B26" s="13" t="s">
        <v>76</v>
      </c>
      <c r="C26" s="13" t="s">
        <v>77</v>
      </c>
      <c r="D26" s="13" t="s">
        <v>78</v>
      </c>
      <c r="E26" s="47"/>
      <c r="F26" s="55"/>
      <c r="G26" s="2"/>
      <c r="N26" s="5" t="s">
        <v>94</v>
      </c>
      <c r="O26" s="10" t="s">
        <v>88</v>
      </c>
      <c r="P26" s="2"/>
      <c r="Q26" s="17"/>
      <c r="R26" s="20"/>
      <c r="S26" s="17">
        <f>_xlfn.IFS(R26="V1",P26*Q26*(1-$O$10),R26="V2",P26*Q26*(1-$P$10),R26="",P26*Q26)</f>
        <v>0</v>
      </c>
    </row>
    <row r="27" spans="1:20" ht="14.4" x14ac:dyDescent="0.25">
      <c r="A27" s="9" t="s">
        <v>83</v>
      </c>
      <c r="C27" s="46"/>
      <c r="D27" s="47"/>
      <c r="E27" s="48"/>
      <c r="F27" s="56"/>
      <c r="G27" s="2"/>
      <c r="N27" s="5" t="s">
        <v>94</v>
      </c>
      <c r="O27" s="10" t="s">
        <v>91</v>
      </c>
      <c r="P27" s="2"/>
      <c r="Q27" s="17"/>
      <c r="R27" s="20"/>
      <c r="S27" s="17">
        <f>_xlfn.IFS(R27="V1",P27*Q27*(1-$O$10),R27="V2",P27*Q27*(1-$P$10),R27="",P27*Q27)</f>
        <v>0</v>
      </c>
    </row>
    <row r="28" spans="1:20" ht="14.4" x14ac:dyDescent="0.25">
      <c r="A28" s="9" t="s">
        <v>84</v>
      </c>
      <c r="C28" s="46"/>
      <c r="D28" s="47"/>
      <c r="E28" s="46"/>
      <c r="F28" s="57"/>
      <c r="G28" s="2"/>
      <c r="N28" s="5" t="s">
        <v>94</v>
      </c>
      <c r="O28" s="13" t="s">
        <v>95</v>
      </c>
      <c r="P28" s="2">
        <v>7</v>
      </c>
      <c r="Q28" s="2">
        <v>5</v>
      </c>
      <c r="R28" s="61"/>
      <c r="S28" s="17">
        <f>_xlfn.IFS(R28="V1",P28*Q28*(1-$O$10),R28="V2",P28*Q28*(1-$P$10),R28="",P28*Q28)</f>
        <v>35</v>
      </c>
      <c r="T28" s="1" t="s">
        <v>96</v>
      </c>
    </row>
    <row r="29" spans="1:20" ht="14.4" x14ac:dyDescent="0.25">
      <c r="A29" s="9" t="s">
        <v>85</v>
      </c>
      <c r="G29" s="2"/>
      <c r="N29" s="5" t="s">
        <v>86</v>
      </c>
      <c r="O29" s="62" t="s">
        <v>93</v>
      </c>
      <c r="P29" s="2">
        <v>30</v>
      </c>
      <c r="Q29" s="2">
        <v>6</v>
      </c>
      <c r="R29" s="61"/>
      <c r="S29" s="17">
        <f>_xlfn.IFS(R29="V1",P29*Q29*(1-$O$10),R29="V2",P29*Q29*(1-$P$10),R29="",P29*Q29)</f>
        <v>180</v>
      </c>
    </row>
    <row r="30" spans="1:20" ht="14.4" x14ac:dyDescent="0.25">
      <c r="G30" s="2"/>
      <c r="O30" s="9"/>
    </row>
    <row r="31" spans="1:20" x14ac:dyDescent="0.25">
      <c r="G31" s="2"/>
    </row>
    <row r="32" spans="1:20" x14ac:dyDescent="0.25">
      <c r="G32" s="2"/>
    </row>
    <row r="33" spans="1:7" x14ac:dyDescent="0.25">
      <c r="A33" s="3">
        <v>135000</v>
      </c>
      <c r="G33" s="2"/>
    </row>
    <row r="34" spans="1:7" x14ac:dyDescent="0.25">
      <c r="G34" s="2"/>
    </row>
    <row r="35" spans="1:7" ht="14.4" x14ac:dyDescent="0.25">
      <c r="A35" s="13" t="s">
        <v>75</v>
      </c>
      <c r="B35" s="1">
        <f>$A$33*C18</f>
        <v>54000</v>
      </c>
      <c r="G35" s="2"/>
    </row>
    <row r="36" spans="1:7" ht="14.4" x14ac:dyDescent="0.25">
      <c r="A36" s="13" t="s">
        <v>76</v>
      </c>
      <c r="B36" s="1">
        <f t="shared" ref="B36:B38" si="2">$A$33*C19</f>
        <v>6750</v>
      </c>
      <c r="G36" s="2"/>
    </row>
    <row r="37" spans="1:7" ht="14.4" x14ac:dyDescent="0.25">
      <c r="A37" s="13" t="s">
        <v>77</v>
      </c>
      <c r="B37" s="1">
        <f t="shared" si="2"/>
        <v>41850</v>
      </c>
      <c r="G37" s="2"/>
    </row>
    <row r="38" spans="1:7" ht="14.4" x14ac:dyDescent="0.25">
      <c r="A38" s="13" t="s">
        <v>78</v>
      </c>
      <c r="B38" s="1">
        <f t="shared" si="2"/>
        <v>32400</v>
      </c>
      <c r="G38" s="2"/>
    </row>
    <row r="39" spans="1:7" x14ac:dyDescent="0.25">
      <c r="G39" s="2"/>
    </row>
    <row r="40" spans="1:7" x14ac:dyDescent="0.25">
      <c r="G40" s="2"/>
    </row>
    <row r="41" spans="1:7" x14ac:dyDescent="0.25">
      <c r="G41" s="2"/>
    </row>
    <row r="42" spans="1:7" x14ac:dyDescent="0.25">
      <c r="G42" s="2"/>
    </row>
    <row r="43" spans="1:7" x14ac:dyDescent="0.25">
      <c r="G43" s="2"/>
    </row>
    <row r="44" spans="1:7" x14ac:dyDescent="0.25">
      <c r="G44" s="2"/>
    </row>
    <row r="45" spans="1:7" x14ac:dyDescent="0.25">
      <c r="G45" s="2"/>
    </row>
    <row r="46" spans="1:7" x14ac:dyDescent="0.25">
      <c r="G46" s="2"/>
    </row>
    <row r="47" spans="1:7" x14ac:dyDescent="0.25">
      <c r="G47" s="2"/>
    </row>
    <row r="48" spans="1:7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淦浩 孙</dc:creator>
  <cp:lastModifiedBy>淦浩 孙</cp:lastModifiedBy>
  <dcterms:created xsi:type="dcterms:W3CDTF">2026-06-26T14:17:17Z</dcterms:created>
  <dcterms:modified xsi:type="dcterms:W3CDTF">2026-06-26T18:31:51Z</dcterms:modified>
</cp:coreProperties>
</file>