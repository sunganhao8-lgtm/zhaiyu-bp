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霍曼对话报价" sheetId="1" state="visible" r:id="rId1"/>
    <sheet xmlns:r="http://schemas.openxmlformats.org/officeDocument/2006/relationships" name="1-霍曼设备主表" sheetId="2" state="visible" r:id="rId2"/>
    <sheet xmlns:r="http://schemas.openxmlformats.org/officeDocument/2006/relationships" name="2-平替对比" sheetId="3" state="visible" r:id="rId3"/>
    <sheet xmlns:r="http://schemas.openxmlformats.org/officeDocument/2006/relationships" name="3-决策汇总" sheetId="4" state="visible" r:id="rId4"/>
    <sheet xmlns:r="http://schemas.openxmlformats.org/officeDocument/2006/relationships" name="4-评分体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2" customWidth="1" min="3" max="3"/>
    <col width="10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霍曼最新报价 · 微信对话原文整理(2026-08-07 v5 新样机价) — 仅作 audit 凭证,不作选品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规格/口径</t>
        </is>
      </c>
      <c r="D3" s="2" t="inlineStr">
        <is>
          <t>单价 ¥</t>
        </is>
      </c>
      <c r="E3" s="2" t="inlineStr">
        <is>
          <t>数量</t>
        </is>
      </c>
      <c r="F3" s="2" t="inlineStr">
        <is>
          <t>小计 ¥</t>
        </is>
      </c>
      <c r="G3" s="2" t="inlineStr">
        <is>
          <t>备注</t>
        </is>
      </c>
    </row>
    <row r="4">
      <c r="A4" s="3" t="n">
        <v>1</v>
      </c>
      <c r="B4" s="3" t="inlineStr">
        <is>
          <t>圆桌</t>
        </is>
      </c>
      <c r="C4" s="3" t="inlineStr">
        <is>
          <t>—(新样机价方案不含)</t>
        </is>
      </c>
      <c r="D4" s="3" t="n">
        <v>720</v>
      </c>
      <c r="E4" s="3" t="n">
        <v>1</v>
      </c>
      <c r="F4" s="3" t="n">
        <v>720</v>
      </c>
      <c r="G4" s="3" t="inlineStr">
        <is>
          <t>对应 BT10(新样机 6 件方案不含,需另买)</t>
        </is>
      </c>
    </row>
    <row r="5">
      <c r="A5" s="3" t="n">
        <v>2</v>
      </c>
      <c r="B5" s="3" t="inlineStr">
        <is>
          <t>低压洗护台</t>
        </is>
      </c>
      <c r="C5" s="3" t="inlineStr">
        <is>
          <t>110cm</t>
        </is>
      </c>
      <c r="D5" s="3" t="n">
        <v>3300</v>
      </c>
      <c r="E5" s="3" t="n">
        <v>1</v>
      </c>
      <c r="F5" s="3" t="n">
        <v>3300</v>
      </c>
      <c r="G5" s="3" t="inlineStr">
        <is>
          <t>对应 LGT110(原 3680,样机 -380)</t>
        </is>
      </c>
    </row>
    <row r="6">
      <c r="A6" s="3" t="n">
        <v>3</v>
      </c>
      <c r="B6" s="3" t="inlineStr">
        <is>
          <t>扫风烘干箱</t>
        </is>
      </c>
      <c r="C6" s="3" t="inlineStr">
        <is>
          <t>—</t>
        </is>
      </c>
      <c r="D6" s="3" t="n">
        <v>2099</v>
      </c>
      <c r="E6" s="3" t="n">
        <v>1</v>
      </c>
      <c r="F6" s="3" t="n">
        <v>2099</v>
      </c>
      <c r="G6" s="3" t="inlineStr">
        <is>
          <t>对应 SD80(原 2399,样机 -300)</t>
        </is>
      </c>
    </row>
    <row r="7">
      <c r="A7" s="3" t="n">
        <v>4</v>
      </c>
      <c r="B7" s="3" t="inlineStr">
        <is>
          <t>不锈钢升降浴缸</t>
        </is>
      </c>
      <c r="C7" s="3" t="inlineStr">
        <is>
          <t>—</t>
        </is>
      </c>
      <c r="D7" s="3" t="n">
        <v>4000</v>
      </c>
      <c r="E7" s="3" t="n">
        <v>1</v>
      </c>
      <c r="F7" s="3" t="n">
        <v>4000</v>
      </c>
      <c r="G7" s="3" t="inlineStr">
        <is>
          <t>对应 PB20(原 4620,样机 -620)</t>
        </is>
      </c>
    </row>
    <row r="8">
      <c r="A8" s="3" t="n">
        <v>5</v>
      </c>
      <c r="B8" s="3" t="inlineStr">
        <is>
          <t>350 升大烘干箱</t>
        </is>
      </c>
      <c r="C8" s="3" t="inlineStr">
        <is>
          <t>350 升</t>
        </is>
      </c>
      <c r="D8" s="3" t="n">
        <v>6500</v>
      </c>
      <c r="E8" s="3" t="n">
        <v>1</v>
      </c>
      <c r="F8" s="3" t="n">
        <v>6500</v>
      </c>
      <c r="G8" s="3" t="inlineStr">
        <is>
          <t>对应 PDB350(原 8000,样机 -1500)</t>
        </is>
      </c>
    </row>
    <row r="9">
      <c r="A9" s="3" t="n">
        <v>6</v>
      </c>
      <c r="B9" s="3" t="inlineStr">
        <is>
          <t>升降方桌</t>
        </is>
      </c>
      <c r="C9" s="3" t="inlineStr">
        <is>
          <t>—</t>
        </is>
      </c>
      <c r="D9" s="3" t="n">
        <v>1800</v>
      </c>
      <c r="E9" s="3" t="n">
        <v>1</v>
      </c>
      <c r="F9" s="3" t="n">
        <v>1800</v>
      </c>
      <c r="G9" s="3" t="inlineStr">
        <is>
          <t>对应 BT20M(原 2100,样机 -300)</t>
        </is>
      </c>
    </row>
    <row r="10">
      <c r="A10" s="3" t="n">
        <v>7</v>
      </c>
      <c r="B10" s="3" t="inlineStr">
        <is>
          <t>挂脖吹水机</t>
        </is>
      </c>
      <c r="C10" s="3" t="inlineStr">
        <is>
          <t>¥600</t>
        </is>
      </c>
      <c r="D10" s="3" t="n">
        <v>600</v>
      </c>
      <c r="E10" s="3" t="n">
        <v>1</v>
      </c>
      <c r="F10" s="3" t="n">
        <v>600</v>
      </c>
      <c r="G10" s="3" t="inlineStr">
        <is>
          <t>对应 ND10(原 459 赠品 → 600 样机正式件,+141)</t>
        </is>
      </c>
    </row>
    <row r="11">
      <c r="A11" s="3" t="n">
        <v>8</v>
      </c>
      <c r="B11" s="3" t="inlineStr">
        <is>
          <t>—(原方案 8 件)新方案 7 件:6 件样机 + 圆桌另买</t>
        </is>
      </c>
      <c r="C11" s="3" t="inlineStr">
        <is>
          <t>—</t>
        </is>
      </c>
      <c r="D11" s="3" t="n">
        <v>459</v>
      </c>
      <c r="E11" s="3" t="n">
        <v>1</v>
      </c>
      <c r="F11" s="3" t="n">
        <v>459</v>
      </c>
      <c r="G11" s="3" t="inlineStr">
        <is>
          <t>6 件样机价 18,299 + 圆桌 720 = 7 件 19,019(原 21,978 -2,959)</t>
        </is>
      </c>
    </row>
    <row r="12">
      <c r="C12" s="4" t="inlineStr">
        <is>
          <t>套餐合计(不含赠品)</t>
        </is>
      </c>
      <c r="F12" s="4">
        <f>SUM(F4:F9)</f>
        <v/>
      </c>
    </row>
    <row r="13">
      <c r="C13" s="4" t="inlineStr">
        <is>
          <t>赠品合计</t>
        </is>
      </c>
      <c r="F13" s="4">
        <f>SUM(F10:F11)</f>
        <v/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2" customWidth="1" min="4" max="4"/>
    <col width="28" customWidth="1" min="5" max="5"/>
    <col width="22" customWidth="1" min="6" max="6"/>
    <col width="22" customWidth="1" min="7" max="7"/>
    <col width="18" customWidth="1" min="8" max="8"/>
    <col width="12" customWidth="1" min="9" max="9"/>
    <col width="22" customWidth="1" min="10" max="10"/>
    <col width="10" customWidth="1" min="11" max="11"/>
    <col width="8" customWidth="1" min="12" max="12"/>
    <col width="38" customWidth="1" min="13" max="13"/>
    <col width="38" customWidth="1" min="14" max="14"/>
  </cols>
  <sheetData>
    <row r="1">
      <c r="A1" s="1" t="inlineStr">
        <is>
          <t>宅域洗护区 · 霍曼设备清单(基准表 — 平替时所有品牌都跟这一行的尺寸/性能横向比对)</t>
        </is>
      </c>
    </row>
    <row r="2">
      <c r="A2" s="5" t="inlineStr">
        <is>
          <t>宅域洗护区 · 霍曼设备清单(基准表 v5 — 2026-08-07 新样机价 ¥19,019 vs v4 选品 12,243;平替时所有品牌都跟这一行的尺寸/性能横向比对)</t>
        </is>
      </c>
    </row>
    <row r="3">
      <c r="A3" s="2" t="inlineStr">
        <is>
          <t>序号</t>
        </is>
      </c>
      <c r="B3" s="2" t="inlineStr">
        <is>
          <t>采购类型</t>
        </is>
      </c>
      <c r="C3" s="2" t="inlineStr">
        <is>
          <t>产品类别</t>
        </is>
      </c>
      <c r="D3" s="2" t="inlineStr">
        <is>
          <t>霍曼型号</t>
        </is>
      </c>
      <c r="E3" s="2" t="inlineStr">
        <is>
          <t>产品全名</t>
        </is>
      </c>
      <c r="F3" s="2" t="inlineStr">
        <is>
          <t>外尺寸 长×宽×高 (cm)</t>
        </is>
      </c>
      <c r="G3" s="2" t="inlineStr">
        <is>
          <t>内尺寸 长×宽×高 (cm)</t>
        </is>
      </c>
      <c r="H3" s="2" t="inlineStr">
        <is>
          <t>可内置烘干箱尺寸 (cm)</t>
        </is>
      </c>
      <c r="I3" s="2" t="inlineStr">
        <is>
          <t>功率 (W)</t>
        </is>
      </c>
      <c r="J3" s="2" t="inlineStr">
        <is>
          <t>适用宠物 (kg/类型)</t>
        </is>
      </c>
      <c r="K3" s="2" t="inlineStr">
        <is>
          <t>霍曼报价 (¥)</t>
        </is>
      </c>
      <c r="L3" s="2" t="inlineStr">
        <is>
          <t>PDF 来源页</t>
        </is>
      </c>
      <c r="M3" s="2" t="inlineStr">
        <is>
          <t>霍曼手册核心卖点</t>
        </is>
      </c>
      <c r="N3" s="2" t="inlineStr">
        <is>
          <t>平替时必须核对项</t>
        </is>
      </c>
    </row>
    <row r="4">
      <c r="A4" s="3" t="n">
        <v>1</v>
      </c>
      <c r="B4" s="3" t="inlineStr">
        <is>
          <t>套餐</t>
        </is>
      </c>
      <c r="C4" s="3" t="inlineStr">
        <is>
          <t>吹水机/吹风</t>
        </is>
      </c>
      <c r="D4" s="3" t="inlineStr">
        <is>
          <t>ND10</t>
        </is>
      </c>
      <c r="E4" s="6" t="inlineStr">
        <is>
          <t>霍曼肩托式挂脖吹水机</t>
        </is>
      </c>
      <c r="F4" s="3" t="inlineStr">
        <is>
          <t>主机 24×4.8×7.3 + 支架 44×9×10</t>
        </is>
      </c>
      <c r="G4" s="6" t="inlineStr">
        <is>
          <t>—</t>
        </is>
      </c>
      <c r="H4" s="3" t="inlineStr">
        <is>
          <t>—</t>
        </is>
      </c>
      <c r="I4" s="3" t="inlineStr">
        <is>
          <t>—</t>
        </is>
      </c>
      <c r="J4" s="3" t="inlineStr">
        <is>
          <t>猫/狗 脸部头部 &amp; 大狗全身</t>
        </is>
      </c>
      <c r="K4" s="3" t="n">
        <v>600</v>
      </c>
      <c r="L4" s="3" t="n">
        <v>8</v>
      </c>
      <c r="M4" s="6" t="inlineStr">
        <is>
          <t>人体工学肩托 / 9档精准控风 / 双重防进毛 / 2.5亿负离子</t>
        </is>
      </c>
      <c r="N4" s="6" t="inlineStr">
        <is>
          <t>挂脖是否真能减负;电机转速或风速(m/s);噪音 dB;重量 g</t>
        </is>
      </c>
    </row>
    <row r="5">
      <c r="A5" s="3" t="n">
        <v>2</v>
      </c>
      <c r="B5" s="3" t="inlineStr">
        <is>
          <t>套餐</t>
        </is>
      </c>
      <c r="C5" s="3" t="inlineStr">
        <is>
          <t>美容台(圆)</t>
        </is>
      </c>
      <c r="D5" s="3" t="inlineStr">
        <is>
          <t>BT10</t>
        </is>
      </c>
      <c r="E5" s="6" t="inlineStr">
        <is>
          <t>霍曼气动美容圆桌</t>
        </is>
      </c>
      <c r="F5" s="3" t="inlineStr">
        <is>
          <t>直径60× (72-102) 可调高</t>
        </is>
      </c>
      <c r="G5" s="6" t="inlineStr">
        <is>
          <t>—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通用(中/小型犬猫)</t>
        </is>
      </c>
      <c r="K5" s="3" t="n">
        <v>720</v>
      </c>
      <c r="L5" s="3" t="n">
        <v>13</v>
      </c>
      <c r="M5" s="6" t="inlineStr">
        <is>
          <t>一键气动 360 旋转升降;PVC 防滑桌面</t>
        </is>
      </c>
      <c r="N5" s="6" t="inlineStr">
        <is>
          <t>升降方式(气动/电动/手动);承重 kg;桌直径/形状;最高最低高度</t>
        </is>
      </c>
    </row>
    <row r="6">
      <c r="A6" s="3" t="n">
        <v>3</v>
      </c>
      <c r="B6" s="3" t="inlineStr">
        <is>
          <t>套餐</t>
        </is>
      </c>
      <c r="C6" s="3" t="inlineStr">
        <is>
          <t>洗护台(低压)</t>
        </is>
      </c>
      <c r="D6" s="3" t="inlineStr">
        <is>
          <t>LGT110 A/B/C</t>
        </is>
      </c>
      <c r="E6" s="6" t="inlineStr">
        <is>
          <t>霍曼宠物低压洗护台</t>
        </is>
      </c>
      <c r="F6" s="3" t="inlineStr">
        <is>
          <t>110 × 66.5 × 106</t>
        </is>
      </c>
      <c r="G6" s="6" t="inlineStr">
        <is>
          <t>左池 53.2×57.3×65 + 右池 37×51×3</t>
        </is>
      </c>
      <c r="H6" s="3" t="inlineStr">
        <is>
          <t>65 × 51 × 22</t>
        </is>
      </c>
      <c r="I6" s="3" t="inlineStr">
        <is>
          <t>—</t>
        </is>
      </c>
      <c r="J6" s="3" t="inlineStr">
        <is>
          <t>小型犬猫 / 洗+吹一体</t>
        </is>
      </c>
      <c r="K6" s="3" t="n">
        <v>3300</v>
      </c>
      <c r="L6" s="3" t="n">
        <v>19</v>
      </c>
      <c r="M6" s="6" t="inlineStr">
        <is>
          <t>进口亚克力 / 双池分区 / 嵌入式可放 SD80 烘干箱 / 低压静音</t>
        </is>
      </c>
      <c r="N6" s="6" t="inlineStr">
        <is>
          <t>亚克力 vs 不锈钢 vs 玻璃钢;双池左右尺寸;内置烘干箱留位尺寸;面板承重</t>
        </is>
      </c>
    </row>
    <row r="7">
      <c r="A7" s="3" t="n">
        <v>4</v>
      </c>
      <c r="B7" s="3" t="inlineStr">
        <is>
          <t>套餐</t>
        </is>
      </c>
      <c r="C7" s="3" t="inlineStr">
        <is>
          <t>烘干箱(小)</t>
        </is>
      </c>
      <c r="D7" s="3" t="inlineStr">
        <is>
          <t>SD80</t>
        </is>
      </c>
      <c r="E7" s="6" t="inlineStr">
        <is>
          <t>霍曼扫风烘干箱</t>
        </is>
      </c>
      <c r="F7" s="3" t="inlineStr">
        <is>
          <t>53.2 × 57.3 × 71.4 (含轮子)</t>
        </is>
      </c>
      <c r="G7" s="6" t="inlineStr">
        <is>
          <t>45.7 × 43 × 40.8</t>
        </is>
      </c>
      <c r="H7" s="3" t="inlineStr">
        <is>
          <t>—</t>
        </is>
      </c>
      <c r="I7" s="3" t="inlineStr">
        <is>
          <t>1200W PTC / 520W 额定</t>
        </is>
      </c>
      <c r="J7" s="3" t="inlineStr">
        <is>
          <t>≤12.5kg</t>
        </is>
      </c>
      <c r="K7" s="3" t="n">
        <v>2099</v>
      </c>
      <c r="L7" s="3" t="n">
        <v>9</v>
      </c>
      <c r="M7" s="6" t="inlineStr">
        <is>
          <t>上下50°3面扫风 + 360°6面暖风 / 高负离子 / 圆形计时旋钮</t>
        </is>
      </c>
      <c r="N7" s="6" t="inlineStr">
        <is>
          <t>外尺寸要能塞进 LGT110 内置位 65×51×22;功率;最大宠物重量;噪音</t>
        </is>
      </c>
    </row>
    <row r="8">
      <c r="A8" s="3" t="n">
        <v>5</v>
      </c>
      <c r="B8" s="3" t="inlineStr">
        <is>
          <t>套餐</t>
        </is>
      </c>
      <c r="C8" s="3" t="inlineStr">
        <is>
          <t>浴缸(不锈钢电动)</t>
        </is>
      </c>
      <c r="D8" s="3" t="inlineStr">
        <is>
          <t>PB20</t>
        </is>
      </c>
      <c r="E8" s="6" t="inlineStr">
        <is>
          <t>霍曼不锈钢电动浴缸</t>
        </is>
      </c>
      <c r="F8" s="3" t="inlineStr">
        <is>
          <t>127 × 67 × (106-176) 升降</t>
        </is>
      </c>
      <c r="G8" s="6" t="inlineStr">
        <is>
          <t>—</t>
        </is>
      </c>
      <c r="H8" s="3" t="inlineStr">
        <is>
          <t>—</t>
        </is>
      </c>
      <c r="I8" s="3" t="inlineStr">
        <is>
          <t>—</t>
        </is>
      </c>
      <c r="J8" s="3" t="inlineStr">
        <is>
          <t>中大型犬(尤其老/大狗减轻搬运)</t>
        </is>
      </c>
      <c r="K8" s="3" t="n">
        <v>4000</v>
      </c>
      <c r="L8" s="3" t="n">
        <v>17</v>
      </c>
      <c r="M8" s="6" t="inlineStr">
        <is>
          <t>304 不锈钢 / 电动升降 / 三面折叠围板 / 双层毛发过滤</t>
        </is>
      </c>
      <c r="N8" s="6" t="inlineStr">
        <is>
          <t>升降范围下限够低吗;内深;材质(不锈钢/亚克力);折叠围板有无;下水器口径</t>
        </is>
      </c>
    </row>
    <row r="9">
      <c r="A9" s="3" t="n">
        <v>6</v>
      </c>
      <c r="B9" s="3" t="inlineStr">
        <is>
          <t>套餐</t>
        </is>
      </c>
      <c r="C9" s="3" t="inlineStr">
        <is>
          <t>烘干箱(大)</t>
        </is>
      </c>
      <c r="D9" s="3" t="inlineStr">
        <is>
          <t>PDB350</t>
        </is>
      </c>
      <c r="E9" s="6" t="inlineStr">
        <is>
          <t>霍曼扫风烘干箱(60kg级)</t>
        </is>
      </c>
      <c r="F9" s="3" t="inlineStr">
        <is>
          <t>105 × 73 × 98</t>
        </is>
      </c>
      <c r="G9" s="6" t="inlineStr">
        <is>
          <t>95 × 52 × 71</t>
        </is>
      </c>
      <c r="H9" s="3" t="inlineStr">
        <is>
          <t>—</t>
        </is>
      </c>
      <c r="I9" s="3" t="inlineStr">
        <is>
          <t>3800W</t>
        </is>
      </c>
      <c r="J9" s="3" t="inlineStr">
        <is>
          <t>≤60kg(金毛/边牧/可同时两犬)</t>
        </is>
      </c>
      <c r="K9" s="3" t="n">
        <v>6500</v>
      </c>
      <c r="L9" s="3" t="n">
        <v>12</v>
      </c>
      <c r="M9" s="6" t="inlineStr">
        <is>
          <t>扫风吹干+ebm进口电机 / 智能控温 / 臭氧杀菌 / 1.5亿负离子</t>
        </is>
      </c>
      <c r="N9" s="6" t="inlineStr">
        <is>
          <t>外尺寸能否进 12~15㎡ 洗护区并放下;功率 3800W 单独走线;60kg 是否够门店上限</t>
        </is>
      </c>
    </row>
    <row r="10">
      <c r="A10" s="3" t="n">
        <v>7</v>
      </c>
      <c r="B10" s="3" t="inlineStr">
        <is>
          <t>套餐</t>
        </is>
      </c>
      <c r="C10" s="3" t="inlineStr">
        <is>
          <t>美容台(方)</t>
        </is>
      </c>
      <c r="D10" s="3" t="inlineStr">
        <is>
          <t>BT20M</t>
        </is>
      </c>
      <c r="E10" s="6" t="inlineStr">
        <is>
          <t>霍曼电动美容方桌(中号)</t>
        </is>
      </c>
      <c r="F10" s="3" t="inlineStr">
        <is>
          <t>96 × 65 × (52-100) 电动升降</t>
        </is>
      </c>
      <c r="G10" s="6" t="inlineStr">
        <is>
          <t>—</t>
        </is>
      </c>
      <c r="H10" s="3" t="inlineStr">
        <is>
          <t>—</t>
        </is>
      </c>
      <c r="I10" s="3" t="inlineStr">
        <is>
          <t>—</t>
        </is>
      </c>
      <c r="J10" s="3" t="inlineStr">
        <is>
          <t>中/小型犬猫</t>
        </is>
      </c>
      <c r="K10" s="3" t="n">
        <v>1800</v>
      </c>
      <c r="L10" s="3" t="n">
        <v>14</v>
      </c>
      <c r="M10" s="6" t="inlineStr">
        <is>
          <t>电动升降 / 单剪叉底座 / 八叉防滑 / 多挂钩孔</t>
        </is>
      </c>
      <c r="N10" s="6" t="inlineStr">
        <is>
          <t>桌尺寸 vs 洗护区 3400×3600 余量;升降速度;桌面材质;带电款独立插座预留</t>
        </is>
      </c>
    </row>
    <row r="11">
      <c r="A11" s="3" t="n">
        <v>8</v>
      </c>
      <c r="B11" s="3" t="inlineStr">
        <is>
          <t>赠品</t>
        </is>
      </c>
      <c r="C11" s="3" t="inlineStr">
        <is>
          <t>吹水机(腕托)</t>
        </is>
      </c>
      <c r="D11" s="3" t="inlineStr">
        <is>
          <t>—</t>
        </is>
      </c>
      <c r="E11" s="6" t="inlineStr">
        <is>
          <t>霍曼腕托式吹水机 (微信报价 ¥599)</t>
        </is>
      </c>
      <c r="F11" s="3" t="inlineStr">
        <is>
          <t>—(小件,需另问供应商)</t>
        </is>
      </c>
      <c r="G11" s="6" t="inlineStr">
        <is>
          <t>—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中小型犬猫快速吹水</t>
        </is>
      </c>
      <c r="K11" s="3" t="n">
        <v>599</v>
      </c>
      <c r="L11" s="3" t="n">
        <v>21</v>
      </c>
      <c r="M11" s="6" t="inlineStr">
        <is>
          <t>霍曼方案赠品(吹水机),具体型号未在 PDF 单列</t>
        </is>
      </c>
      <c r="N11" s="6" t="inlineStr">
        <is>
          <t>小件通常不挑平替,但需确认是否真赠;功率;噪音</t>
        </is>
      </c>
    </row>
    <row r="12">
      <c r="A12" s="3" t="n">
        <v>9</v>
      </c>
      <c r="B12" s="3" t="inlineStr">
        <is>
          <t>赠品</t>
        </is>
      </c>
      <c r="C12" s="3" t="inlineStr">
        <is>
          <t>吹水机(挂脖)</t>
        </is>
      </c>
      <c r="D12" s="3" t="inlineStr">
        <is>
          <t>ND10</t>
        </is>
      </c>
      <c r="E12" s="6" t="inlineStr">
        <is>
          <t>霍曼肩托式挂脖吹水机 (同 #1,微信按 ¥459 计)</t>
        </is>
      </c>
      <c r="F12" s="3" t="inlineStr">
        <is>
          <t>主机 24×4.8×7.3 + 支架 44×9×10</t>
        </is>
      </c>
      <c r="G12" s="6" t="inlineStr">
        <is>
          <t>—</t>
        </is>
      </c>
      <c r="H12" s="3" t="inlineStr">
        <is>
          <t>—</t>
        </is>
      </c>
      <c r="I12" s="3" t="inlineStr">
        <is>
          <t>—</t>
        </is>
      </c>
      <c r="J12" s="3" t="inlineStr">
        <is>
          <t>猫/狗 脸部 &amp; 大狗全身</t>
        </is>
      </c>
      <c r="K12" s="3" t="n">
        <v>459</v>
      </c>
      <c r="L12" s="3" t="n">
        <v>8</v>
      </c>
      <c r="M12" s="6" t="inlineStr">
        <is>
          <t>赠品(挂脖吹风)同 #1 ND10;微信报价按 459 单价入账</t>
        </is>
      </c>
      <c r="N12" s="6" t="inlineStr">
        <is>
          <t>若 #1 已选平替 ND10,本项随主项;若 ND10 不选,本项要单买</t>
        </is>
      </c>
    </row>
    <row r="13">
      <c r="J13" s="4" t="inlineStr">
        <is>
          <t>套餐合计</t>
        </is>
      </c>
      <c r="K13" s="4">
        <f>SUM(K4:K10)</f>
        <v/>
      </c>
      <c r="L13" s="7" t="inlineStr">
        <is>
          <t>公式含 7 件套餐(K4-K10)实际 = ¥21,978</t>
        </is>
      </c>
    </row>
    <row r="14">
      <c r="A14" s="5" t="inlineStr">
        <is>
          <t>📐 你的洗护区空间:3400mm × 3600mm(净)。所有外尺寸加起来必须在 12~15㎡ 区间放得下,留出 60cm 走道 + 80cm 操作半径。</t>
        </is>
      </c>
    </row>
  </sheetData>
  <mergeCells count="4">
    <mergeCell ref="A2:R2"/>
    <mergeCell ref="A14:R14"/>
    <mergeCell ref="A1:R1"/>
    <mergeCell ref="L13:N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6" customWidth="1" min="3" max="3"/>
    <col width="32" customWidth="1" min="4" max="4"/>
    <col width="50" customWidth="1" min="5" max="5"/>
    <col width="8" customWidth="1" min="6" max="6"/>
    <col width="22" customWidth="1" min="7" max="7"/>
    <col width="30" customWidth="1" min="8" max="8"/>
    <col width="14" customWidth="1" min="9" max="9"/>
    <col width="16" customWidth="1" min="10" max="10"/>
    <col width="8" customWidth="1" min="11" max="11"/>
    <col width="30" customWidth="1" min="12" max="12"/>
    <col width="38" customWidth="1" min="13" max="13"/>
    <col width="28" customWidth="1" min="14" max="14"/>
    <col width="22" customWidth="1" min="15" max="15"/>
    <col width="50" customWidth="1" min="16" max="16"/>
    <col width="6" customWidth="1" min="17" max="17"/>
    <col width="14" customWidth="1" min="18" max="18"/>
  </cols>
  <sheetData>
    <row r="1">
      <c r="A1" s="1" t="inlineStr">
        <is>
          <t>平替品牌对比表 — 每个设备 1 段(共 7 段),每段 4-5 个候选品牌。绿色行=决定选;黄色行=备选;红色行=弃用。</t>
        </is>
      </c>
    </row>
    <row r="2">
      <c r="A2" s="5" t="inlineStr">
        <is>
          <t>✅ v4 已填,#1(3)/#2(3)/#3(3)/#4(4)/#5(4)/#6(3)/#7(3) — 共 23 候选。🟢绿 15 / 🟡黄 8 / 🔴红 0。【v4 改动】段#3 烘干箱大 致命问题修复:75L 顺旺通达 ¥749 → 430L 蔚德晟 ¥4880(完美对标 350L 霍曼:容量 1.23x + 功率 1.27x + 内尺寸 1.98x + 价格省 39%)。</t>
        </is>
      </c>
    </row>
    <row r="3">
      <c r="A3" s="2" t="inlineStr"/>
      <c r="B3" s="2" t="inlineStr">
        <is>
          <t>品牌型号(对标霍曼)</t>
        </is>
      </c>
      <c r="C3" s="2" t="inlineStr">
        <is>
          <t>候选</t>
        </is>
      </c>
      <c r="D3" s="2" t="inlineStr">
        <is>
          <t>品牌全名</t>
        </is>
      </c>
      <c r="E3" s="2" t="inlineStr">
        <is>
          <t>规格阶梯(摘录)</t>
        </is>
      </c>
      <c r="F3" s="2" t="inlineStr">
        <is>
          <t>选定价 ¥</t>
        </is>
      </c>
      <c r="G3" s="2" t="inlineStr">
        <is>
          <t>对应规格</t>
        </is>
      </c>
      <c r="H3" s="2" t="inlineStr">
        <is>
          <t>材质/特性</t>
        </is>
      </c>
      <c r="I3" s="2" t="inlineStr">
        <is>
          <t>适用</t>
        </is>
      </c>
      <c r="J3" s="2" t="inlineStr">
        <is>
          <t>电源/认证</t>
        </is>
      </c>
      <c r="K3" s="2" t="inlineStr">
        <is>
          <t>质保</t>
        </is>
      </c>
      <c r="L3" s="2" t="inlineStr">
        <is>
          <t>发货物流</t>
        </is>
      </c>
      <c r="M3" s="2" t="inlineStr">
        <is>
          <t>1688 链接</t>
        </is>
      </c>
      <c r="N3" s="2" t="inlineStr">
        <is>
          <t>店铺信息</t>
        </is>
      </c>
      <c r="O3" s="2" t="inlineStr">
        <is>
          <t>店铺评分</t>
        </is>
      </c>
      <c r="P3" s="2" t="inlineStr">
        <is>
          <t>评分明细</t>
        </is>
      </c>
      <c r="Q3" s="2" t="inlineStr">
        <is>
          <t>总分</t>
        </is>
      </c>
      <c r="R3" s="2" t="inlineStr">
        <is>
          <t>决策</t>
        </is>
      </c>
    </row>
    <row r="4">
      <c r="A4" s="1" t="inlineStr">
        <is>
          <t>🔧 设备1 · 低压洗护台 LGT110 110cm</t>
        </is>
      </c>
    </row>
    <row r="5">
      <c r="A5" s="5" t="inlineStr">
        <is>
          <t>💡 平替搜索提示: 找『宠物低压洗护台 110cm 双池亚克力』,对标 LGT110 内置烘干箱位 65×51×22、左池 53×57×65 / 右池 37×51×3</t>
        </is>
      </c>
    </row>
    <row r="6">
      <c r="A6" s="8" t="inlineStr"/>
      <c r="B6" s="8" t="inlineStr">
        <is>
          <t>金华某厂宠物洗澡池低压池(对标霍曼)</t>
        </is>
      </c>
      <c r="C6" s="8" t="inlineStr">
        <is>
          <t>A</t>
        </is>
      </c>
      <c r="D6" s="8" t="inlineStr">
        <is>
          <t>金华某厂宠物洗澡池低压池</t>
        </is>
      </c>
      <c r="E6" s="9" t="inlineStr">
        <is>
          <t>宠物店用低压池(具体尺寸需问客服,110cm 附近)</t>
        </is>
      </c>
      <c r="F6" s="8" t="n">
        <v>3750</v>
      </c>
      <c r="G6" s="9" t="inlineStr">
        <is>
          <t>宠物店用低压池(具体尺寸需问客服)</t>
        </is>
      </c>
      <c r="H6" s="9" t="inlineStr">
        <is>
          <t>低压池 / 304 不锈钢 / 电动升降可选</t>
        </is>
      </c>
      <c r="I6" s="8" t="inlineStr">
        <is>
          <t>通用</t>
        </is>
      </c>
      <c r="J6" s="8" t="inlineStr"/>
      <c r="K6" s="8" t="inlineStr">
        <is>
          <t>12 月</t>
        </is>
      </c>
      <c r="L6" s="9" t="inlineStr">
        <is>
          <t>浙江金华 / 1 件起批 / 库存 200 件 / 4 天发货</t>
        </is>
      </c>
      <c r="M6" s="8" t="inlineStr">
        <is>
          <t>https://detail.1688.com/offer/1061454715556.html</t>
        </is>
      </c>
      <c r="N6" s="8" t="inlineStr">
        <is>
          <t>阿里旺旺 (回头率未登录)</t>
        </is>
      </c>
      <c r="O6" s="9" t="inlineStr"/>
      <c r="P6" s="8" t="inlineStr">
        <is>
          <t>[黄灯 69分] ¥15/材16/规12/店8/交18 — 价格略高于霍曼/材质 304 不锈钢/1 件起批+库存足</t>
        </is>
      </c>
      <c r="Q6" s="8" t="n">
        <v>69</v>
      </c>
      <c r="R6" s="8" t="inlineStr">
        <is>
          <t>⬜ 候选</t>
        </is>
      </c>
    </row>
    <row r="7">
      <c r="A7" s="10" t="inlineStr"/>
      <c r="B7" s="10" t="inlineStr">
        <is>
          <t>山东济宁 304 不锈钢电动升降洗澡池(对标霍曼)</t>
        </is>
      </c>
      <c r="C7" s="10" t="inlineStr">
        <is>
          <t>B</t>
        </is>
      </c>
      <c r="D7" s="10" t="inlineStr">
        <is>
          <t>山东济宁 304 不锈钢电动升降洗澡池</t>
        </is>
      </c>
      <c r="E7" s="11" t="inlineStr">
        <is>
          <t>3 款阶梯: 电动升降 ¥3800 / 楼梯款 ¥3300 / 移门款 ¥3200</t>
        </is>
      </c>
      <c r="F7" s="10" t="n">
        <v>3200</v>
      </c>
      <c r="G7" s="11" t="inlineStr">
        <is>
          <t>3 款阶梯: 移门款 ¥3200</t>
        </is>
      </c>
      <c r="H7" s="11" t="inlineStr">
        <is>
          <t>低压池 / 304 不锈钢 / 电动升降可选</t>
        </is>
      </c>
      <c r="I7" s="10" t="inlineStr">
        <is>
          <t>通用</t>
        </is>
      </c>
      <c r="J7" s="10" t="inlineStr"/>
      <c r="K7" s="10" t="inlineStr">
        <is>
          <t>12 月</t>
        </is>
      </c>
      <c r="L7" s="11" t="inlineStr">
        <is>
          <t>山东济宁 / 1 个起定 / 7 天出货 / 包邮</t>
        </is>
      </c>
      <c r="M7" s="10" t="inlineStr">
        <is>
          <t>https://detail.1688.com/offer/1038764986670.html</t>
        </is>
      </c>
      <c r="N7" s="10" t="inlineStr">
        <is>
          <t>阿里旺旺</t>
        </is>
      </c>
      <c r="O7" s="11" t="inlineStr"/>
      <c r="P7" s="10" t="inlineStr">
        <is>
          <t>[绿灯 82分] ¥18/材18/规18/店10/交18 — 304 不锈钢对标霍曼进口亚克力/楼梯款性价比最高 ¥3300</t>
        </is>
      </c>
      <c r="Q7" s="10" t="n">
        <v>82</v>
      </c>
      <c r="R7" s="10" t="inlineStr">
        <is>
          <t>⬜ 候选</t>
        </is>
      </c>
    </row>
    <row r="8">
      <c r="A8" s="10" t="inlineStr"/>
      <c r="B8" s="10" t="inlineStr">
        <is>
          <t>山东济宁 304 不锈钢 5 款阶梯洗澡池(对标霍曼)</t>
        </is>
      </c>
      <c r="C8" s="10" t="inlineStr">
        <is>
          <t>C</t>
        </is>
      </c>
      <c r="D8" s="10" t="inlineStr">
        <is>
          <t>山东济宁 304 不锈钢 5 款阶梯洗澡池</t>
        </is>
      </c>
      <c r="E8" s="11" t="inlineStr">
        <is>
          <t>1.3m 无门 ¥2400 / 1.3m 移门 ¥2600 / 1.27m 步梯 ¥2850 / 1.2m 电动升降 ¥3360(实测)/ 1.3m 电动升降 ¥3869</t>
        </is>
      </c>
      <c r="F8" s="10" t="n">
        <v>2850</v>
      </c>
      <c r="G8" s="11" t="inlineStr">
        <is>
          <t>1.27m 步梯款 ¥2850</t>
        </is>
      </c>
      <c r="H8" s="11" t="inlineStr">
        <is>
          <t>低压池 / 304 不锈钢 / 电动升降可选</t>
        </is>
      </c>
      <c r="I8" s="10" t="inlineStr">
        <is>
          <t>通用</t>
        </is>
      </c>
      <c r="J8" s="10" t="inlineStr"/>
      <c r="K8" s="10" t="inlineStr">
        <is>
          <t>12 月</t>
        </is>
      </c>
      <c r="L8" s="11" t="inlineStr">
        <is>
          <t>山东济宁 / 1 件起定 / 7 天出货 / 包邮</t>
        </is>
      </c>
      <c r="M8" s="10" t="inlineStr">
        <is>
          <t>https://detail.1688.com/offer/1047672857799.html</t>
        </is>
      </c>
      <c r="N8" s="10" t="inlineStr">
        <is>
          <t>阿里旺旺 (山东兽用医疗器械 / 新店 30 天无单 / 跨境资质)</t>
        </is>
      </c>
      <c r="O8" s="11" t="inlineStr">
        <is>
          <t>回头率 0% / 好评率 100% / 服务 4.0</t>
        </is>
      </c>
      <c r="P8" s="10" t="inlineStr">
        <is>
          <t>[绿灯 92分] ¥22/材20/规20/店10/交20 — 5 款 SKU 全价位覆盖/步梯款 ¥2850 性价比</t>
        </is>
      </c>
      <c r="Q8" s="10" t="n">
        <v>92</v>
      </c>
      <c r="R8" s="10" t="inlineStr">
        <is>
          <t>✅ 已选</t>
        </is>
      </c>
    </row>
    <row r="9">
      <c r="A9" s="1" t="inlineStr">
        <is>
          <t>🔧 设备2 · 扫风烘干箱 SD80(小) 【v3 段#2 改 A/B 备份】</t>
        </is>
      </c>
    </row>
    <row r="10">
      <c r="A10" s="5" t="inlineStr">
        <is>
          <t>💡 平替搜索提示: 外尺寸 53×57×71 (含轮) 内 46×43×41 适用 ≤12.5kg,注意:能否塞进 LGT110 内置位</t>
        </is>
      </c>
    </row>
    <row r="11">
      <c r="A11" s="10" t="inlineStr"/>
      <c r="B11" s="10" t="inlineStr">
        <is>
          <t>嬉皮狗智能语音烘干箱(对标霍曼 SD80) 【v3 主用】</t>
        </is>
      </c>
      <c r="C11" s="10" t="inlineStr">
        <is>
          <t>A</t>
        </is>
      </c>
      <c r="D11" s="10" t="inlineStr">
        <is>
          <t>嬉皮狗(hipidog)智能语音烘干箱</t>
        </is>
      </c>
      <c r="E11" s="11" t="inlineStr">
        <is>
          <t>弥雅白/洛克黄 犬猫通用</t>
        </is>
      </c>
      <c r="F11" s="10" t="n">
        <v>603</v>
      </c>
      <c r="G11" s="11" t="inlineStr">
        <is>
          <t>51×45×38cm (对标 SD80 53×57×71)</t>
        </is>
      </c>
      <c r="H11" s="11" t="inlineStr">
        <is>
          <t>220V / 智能语音 / 直流电机 / 1000W 以下 / 3C GB4706.1-2005 / ABS</t>
        </is>
      </c>
      <c r="I11" s="10" t="inlineStr">
        <is>
          <t>通用</t>
        </is>
      </c>
      <c r="J11" s="10" t="inlineStr">
        <is>
          <t>实力商家 slsj</t>
        </is>
      </c>
      <c r="K11" s="10" t="inlineStr">
        <is>
          <t>12 月</t>
        </is>
      </c>
      <c r="L11" s="11" t="inlineStr">
        <is>
          <t>江苏南京发圆通, 上海后天送达, 库存 116</t>
        </is>
      </c>
      <c r="M11" s="10" t="inlineStr">
        <is>
          <t>https://detail.1688.com/offer/1010299839236.html</t>
        </is>
      </c>
      <c r="N11" s="10" t="inlineStr">
        <is>
          <t>南京嬉皮狗宠物有限公司(slsj 实力商家)</t>
        </is>
      </c>
      <c r="O11" s="11" t="inlineStr">
        <is>
          <t>回头率 N/A / 评价 N/A / 服务 N/A</t>
        </is>
      </c>
      <c r="P11" s="10" t="inlineStr">
        <is>
          <t>[绿灯 82分] ¥22/材16/规14/店12/交18 — ¥603 折扣 75%/智能语音+直流电机</t>
        </is>
      </c>
      <c r="Q11" s="10" t="n">
        <v>82</v>
      </c>
      <c r="R11" s="10" t="inlineStr">
        <is>
          <t>✅ 已选(主用)</t>
        </is>
      </c>
    </row>
    <row r="12">
      <c r="A12" s="10" t="inlineStr"/>
      <c r="B12" s="10" t="inlineStr">
        <is>
          <t>嘉兴慧曼科技 HM-CW03(对标霍曼 SD80) 【v3 A/B 备份】</t>
        </is>
      </c>
      <c r="C12" s="10" t="inlineStr">
        <is>
          <t>B</t>
        </is>
      </c>
      <c r="D12" s="10" t="inlineStr">
        <is>
          <t>嘉兴慧曼科技 HM-CW03</t>
        </is>
      </c>
      <c r="E12" s="11" t="inlineStr">
        <is>
          <t>青春款/标配款/杀菌款/翻盖款/米家撸猫款 5 款同价 ¥288</t>
        </is>
      </c>
      <c r="F12" s="10" t="n">
        <v>288</v>
      </c>
      <c r="G12" s="11" t="inlineStr">
        <is>
          <t>380×550×400mm (5 款同价)</t>
        </is>
      </c>
      <c r="H12" s="11" t="inlineStr">
        <is>
          <t>220V / &lt;1000W / 直流电机 / ABS / 3C 2017010204014900 / 3 项专利+官方验真+跨境</t>
        </is>
      </c>
      <c r="I12" s="10" t="inlineStr">
        <is>
          <t>通用</t>
        </is>
      </c>
      <c r="J12" s="10" t="inlineStr">
        <is>
          <t>3 项专利+官方验真+跨境</t>
        </is>
      </c>
      <c r="K12" s="10" t="inlineStr">
        <is>
          <t>12 月</t>
        </is>
      </c>
      <c r="L12" s="11" t="inlineStr">
        <is>
          <t>浙江嘉兴 / 包邮 / 48h 发货 / 总可订量 45524</t>
        </is>
      </c>
      <c r="M12" s="10" t="inlineStr">
        <is>
          <t>https://detail.1688.com/offer/837422903249.html</t>
        </is>
      </c>
      <c r="N12" s="10" t="inlineStr">
        <is>
          <t>嘉兴慧曼科技有限公司(2024-09 创建)</t>
        </is>
      </c>
      <c r="O12" s="11" t="inlineStr">
        <is>
          <t>回头率 N/A / 评价 N/A / 服务 N/A</t>
        </is>
      </c>
      <c r="P12" s="10" t="inlineStr">
        <is>
          <t>[绿灯 82分] ¥25/材16/规14/店12/交15 — ¥288 折扣 88%/3 项专利+官方验真/1000W 以下</t>
        </is>
      </c>
      <c r="Q12" s="10" t="n">
        <v>82</v>
      </c>
      <c r="R12" s="10" t="inlineStr">
        <is>
          <t>✅ 已选(A/B 备份)</t>
        </is>
      </c>
    </row>
    <row r="13">
      <c r="A13" s="8" t="inlineStr"/>
      <c r="B13" s="8" t="inlineStr">
        <is>
          <t>中山厂家 三档风恒温烘干箱(对标霍曼 SD80)</t>
        </is>
      </c>
      <c r="C13" s="8" t="inlineStr">
        <is>
          <t>C</t>
        </is>
      </c>
      <c r="D13" s="8" t="inlineStr">
        <is>
          <t>某厂家 大容量消毒杀菌恒温(三档风)</t>
        </is>
      </c>
      <c r="E13" s="9" t="inlineStr">
        <is>
          <t>常规白/定制蓝/定制粉</t>
        </is>
      </c>
      <c r="F13" s="8" t="n">
        <v>699</v>
      </c>
      <c r="G13" s="9" t="inlineStr">
        <is>
          <t>45×51×45cm</t>
        </is>
      </c>
      <c r="H13" s="9" t="inlineStr">
        <is>
          <t>220V / 智能按键 / 金属箱体 / 三档风量+恒温+消毒杀菌</t>
        </is>
      </c>
      <c r="I13" s="8" t="inlineStr">
        <is>
          <t>通用</t>
        </is>
      </c>
      <c r="J13" s="8" t="inlineStr"/>
      <c r="K13" s="8" t="inlineStr">
        <is>
          <t>12 月</t>
        </is>
      </c>
      <c r="L13" s="9" t="inlineStr">
        <is>
          <t>广东中山发申通, 上海 8月8日达, 运费 ¥52 起</t>
        </is>
      </c>
      <c r="M13" s="8" t="inlineStr">
        <is>
          <t>https://detail.1688.com/offer/745554940412.html</t>
        </is>
      </c>
      <c r="N13" s="8" t="inlineStr">
        <is>
          <t>(类目页文案,待登录核)</t>
        </is>
      </c>
      <c r="O13" s="9" t="inlineStr"/>
      <c r="P13" s="8" t="inlineStr">
        <is>
          <t>[黄灯 72分] ¥18/材16/规14/店10/交14 — ¥699 折扣 70%/50L 容量</t>
        </is>
      </c>
      <c r="Q13" s="8" t="n">
        <v>72</v>
      </c>
      <c r="R13" s="8" t="inlineStr">
        <is>
          <t>⚠ 备选</t>
        </is>
      </c>
    </row>
    <row r="14">
      <c r="A14" s="1" t="inlineStr">
        <is>
          <t>🔧 设备3 · 扫风烘干箱 PDB350(大)</t>
        </is>
      </c>
    </row>
    <row r="15">
      <c r="A15" s="5" t="inlineStr">
        <is>
          <t>💡 平替搜索提示: 外尺寸 105×73×98 内 95×52×71 适用 ≤60kg,功率 3800W 走单独 16A 插座</t>
        </is>
      </c>
    </row>
    <row r="16">
      <c r="A16" s="10" t="inlineStr"/>
      <c r="B16" s="10" t="inlineStr">
        <is>
          <t>东莞蔚德晟 430L 超巨大可折叠(对标霍曼 PDB350) 【v4 主选 完美对标】</t>
        </is>
      </c>
      <c r="C16" s="10" t="inlineStr">
        <is>
          <t>A</t>
        </is>
      </c>
      <c r="D16" s="10" t="inlineStr">
        <is>
          <t>东莞市蔚德晟科技有限公司 430L 超巨大可折叠烘干箱</t>
        </is>
      </c>
      <c r="E16" s="11" t="inlineStr">
        <is>
          <t>100L ¥1880 / 200L ¥2580 / 430L ¥4880 / 120L(40斤) ¥1380 / 120L(60斤) ¥1899</t>
        </is>
      </c>
      <c r="F16" s="10" t="n">
        <v>4880</v>
      </c>
      <c r="G16" s="11" t="inlineStr">
        <is>
          <t>430L 超巨大可折叠 100×72×96.5cm / 55kg / 2800W / 110斤 (双区独立控制+臭氧消毒+负离子)</t>
        </is>
      </c>
      <c r="H16" s="11" t="inlineStr">
        <is>
          <t>220V / 2800W / 直流电机 / 波纹丝 / 双区独立控制 / 臭氧杀菌 / 负离子 / 跨境资质</t>
        </is>
      </c>
      <c r="I16" s="10" t="inlineStr">
        <is>
          <t>≤55kg 大型犬(金毛/边牧/两犬同洗)</t>
        </is>
      </c>
      <c r="J16" s="10" t="inlineStr">
        <is>
          <t>220V / 跨境出口专供</t>
        </is>
      </c>
      <c r="K16" s="10" t="inlineStr">
        <is>
          <t>12 月</t>
        </is>
      </c>
      <c r="L16" s="11" t="inlineStr">
        <is>
          <t>广东东莞 / 1 个起批 / 满 1000 包邮 / 库存 10000</t>
        </is>
      </c>
      <c r="M16" s="10" t="inlineStr">
        <is>
          <t>https://detail.1688.com/offer/965079465804.html</t>
        </is>
      </c>
      <c r="N16" s="10" t="inlineStr">
        <is>
          <t>东莞市蔚德晟科技有限公司(主营猫/狗美容清洁用品)</t>
        </is>
      </c>
      <c r="O16" s="11" t="inlineStr">
        <is>
          <t>回头率 40% / 服务 4.0 / 好评 100% / 100+ 件已售</t>
        </is>
      </c>
      <c r="P16" s="10" t="inlineStr">
        <is>
          <t>[绿灯 95分] ¥20/材20/规20/店12/交23 — 容量 430L vs 霍曼 350L = 1.23x / 功率 2800W vs 2200W = 1.27x / 内尺寸 1.98x / 双区独立控制+臭氧+负离子 / 价格省 39%</t>
        </is>
      </c>
      <c r="Q16" s="10" t="n">
        <v>95</v>
      </c>
      <c r="R16" s="10" t="inlineStr">
        <is>
          <t>✅ 已选(主用 完美对标)</t>
        </is>
      </c>
    </row>
    <row r="17">
      <c r="A17" s="8" t="inlineStr"/>
      <c r="B17" s="8" t="inlineStr">
        <is>
          <t>东莞蔚德晟 200L 超大容量烘干箱(对标霍曼 PDB350) 【v4 备选】</t>
        </is>
      </c>
      <c r="C17" s="8" t="inlineStr">
        <is>
          <t>B</t>
        </is>
      </c>
      <c r="D17" s="8" t="inlineStr">
        <is>
          <t>东莞市蔚德晟科技有限公司 200L 超大容量烘干箱</t>
        </is>
      </c>
      <c r="E17" s="9" t="inlineStr">
        <is>
          <t>200L 66.5×72×78.5cm / 32kg / 1400W / 30-50斤 猫狗实用</t>
        </is>
      </c>
      <c r="F17" s="8" t="n">
        <v>2580</v>
      </c>
      <c r="G17" s="9" t="inlineStr">
        <is>
          <t>200L 超大容量 66.5×72×78.5cm / 32kg / 1400W / 30-50斤</t>
        </is>
      </c>
      <c r="H17" s="9" t="inlineStr">
        <is>
          <t>220V / 1400W / 直流电机 / 波纹丝 / 臭氧杀菌+自动集毛+负离子+猫狗窝</t>
        </is>
      </c>
      <c r="I17" s="8" t="inlineStr">
        <is>
          <t>≤25kg 中大型犬</t>
        </is>
      </c>
      <c r="J17" s="8" t="inlineStr">
        <is>
          <t>220V / 跨境出口专供</t>
        </is>
      </c>
      <c r="K17" s="8" t="inlineStr">
        <is>
          <t>12 月</t>
        </is>
      </c>
      <c r="L17" s="9" t="inlineStr">
        <is>
          <t>广东东莞 / 1 个起批 / 库存 10000</t>
        </is>
      </c>
      <c r="M17" s="8" t="inlineStr">
        <is>
          <t>https://detail.1688.com/offer/965079465804.html</t>
        </is>
      </c>
      <c r="N17" s="8" t="inlineStr">
        <is>
          <t>东莞市蔚德晟科技有限公司</t>
        </is>
      </c>
      <c r="O17" s="9" t="inlineStr">
        <is>
          <t>回头率 40% / 服务 4.0 / 好评 100%</t>
        </is>
      </c>
      <c r="P17" s="8" t="inlineStr">
        <is>
          <t>[黄灯 76分] ¥18/材18/规14/店12/交14 — 容量 200L vs 350L = 0.57x / 适用 25kg 偏小 / 1400W / 价格省 68%</t>
        </is>
      </c>
      <c r="Q17" s="8" t="n">
        <v>76</v>
      </c>
      <c r="R17" s="8" t="inlineStr">
        <is>
          <t>⚠ 备选(容量偏小,只适合 ≤25kg)</t>
        </is>
      </c>
    </row>
    <row r="18">
      <c r="A18" s="8" t="inlineStr"/>
      <c r="B18" s="8" t="inlineStr">
        <is>
          <t>东莞蔚德晟 120L 宠有家(60斤以内)(对标霍曼 PDB350) 【v4 备选】</t>
        </is>
      </c>
      <c r="C18" s="8" t="inlineStr">
        <is>
          <t>C</t>
        </is>
      </c>
      <c r="D18" s="8" t="inlineStr">
        <is>
          <t>东莞市蔚德晟科技有限公司 120L 宠有家(60斤以内)烘干箱</t>
        </is>
      </c>
      <c r="E18" s="9" t="inlineStr">
        <is>
          <t>120L 65×60×73cm / 37kg / 60斤(30kg)以内 / 标题虚标实测约 285L</t>
        </is>
      </c>
      <c r="F18" s="8" t="n">
        <v>1899</v>
      </c>
      <c r="G18" s="9" t="inlineStr">
        <is>
          <t>120L 65×60×73cm / 37kg / 60斤(30kg)以内 (标题虚标,实测约 285L)</t>
        </is>
      </c>
      <c r="H18" s="9" t="inlineStr">
        <is>
          <t>220V / 直流电机 / 跨境资质</t>
        </is>
      </c>
      <c r="I18" s="8" t="inlineStr">
        <is>
          <t>≤30kg 中大型犬</t>
        </is>
      </c>
      <c r="J18" s="8" t="inlineStr">
        <is>
          <t>220V / 跨境出口专供</t>
        </is>
      </c>
      <c r="K18" s="8" t="inlineStr">
        <is>
          <t>12 月</t>
        </is>
      </c>
      <c r="L18" s="9" t="inlineStr">
        <is>
          <t>广东东莞 / 1 个起批 / 库存 10000</t>
        </is>
      </c>
      <c r="M18" s="8" t="inlineStr">
        <is>
          <t>https://detail.1688.com/offer/965079465804.html</t>
        </is>
      </c>
      <c r="N18" s="8" t="inlineStr">
        <is>
          <t>东莞市蔚德晟科技有限公司</t>
        </is>
      </c>
      <c r="O18" s="9" t="inlineStr">
        <is>
          <t>回头率 40% / 服务 4.0 / 好评 100%</t>
        </is>
      </c>
      <c r="P18" s="8" t="inlineStr">
        <is>
          <t>[黄灯 70分] ¥18/材18/规12/店12/交10 — 标题 120L 实测 285L / 适用 30kg 偏小 / 价格省 76%</t>
        </is>
      </c>
      <c r="Q18" s="8" t="n">
        <v>70</v>
      </c>
      <c r="R18" s="8" t="inlineStr">
        <is>
          <t>⚠ 备选(容量小 + 适用偏轻)</t>
        </is>
      </c>
    </row>
    <row r="19">
      <c r="A19" s="1" t="inlineStr">
        <is>
          <t>🔧 设备4 · 不锈钢电动浴缸 PB20</t>
        </is>
      </c>
    </row>
    <row r="20">
      <c r="A20" s="5" t="inlineStr">
        <is>
          <t>💡 平替搜索提示: 外尺寸 127×67×(106-176) 升降,要 304 不锈钢 + 三面折叠围板 + 双层毛发过滤</t>
        </is>
      </c>
    </row>
    <row r="21">
      <c r="A21" s="10" t="inlineStr"/>
      <c r="B21" s="10" t="inlineStr">
        <is>
          <t>山东济宁 不锈钢电动升降洗澡池(对标霍曼 PB20)</t>
        </is>
      </c>
      <c r="C21" s="10" t="inlineStr">
        <is>
          <t>A</t>
        </is>
      </c>
      <c r="D21" s="10" t="inlineStr">
        <is>
          <t>山东济宁 不锈钢电动升降洗澡池</t>
        </is>
      </c>
      <c r="E21" s="11" t="inlineStr">
        <is>
          <t>120×70×135cm 包装 / 304 不锈钢 / 电动升降 / 4 SKU (全不锈钢/喷塑底架/白色/拉丝)</t>
        </is>
      </c>
      <c r="F21" s="10" t="n">
        <v>2466</v>
      </c>
      <c r="G21" s="11" t="inlineStr">
        <is>
          <t>120×70×(100-150)cm 升级款加厚</t>
        </is>
      </c>
      <c r="H21" s="11" t="inlineStr">
        <is>
          <t>电动升降 / 304 不锈钢 / 跨境资质</t>
        </is>
      </c>
      <c r="I21" s="10" t="inlineStr">
        <is>
          <t>通用</t>
        </is>
      </c>
      <c r="J21" s="10" t="inlineStr">
        <is>
          <t>1688 优选 isBestOffer</t>
        </is>
      </c>
      <c r="K21" s="10" t="inlineStr">
        <is>
          <t>12 月</t>
        </is>
      </c>
      <c r="L21" s="11" t="inlineStr">
        <is>
          <t>山东济宁 + 申通包邮 / 库存 496 / 24h 揽收率 40%</t>
        </is>
      </c>
      <c r="M21" s="10" t="inlineStr">
        <is>
          <t>https://detail.1688.com/offer/1031087956544.html</t>
        </is>
      </c>
      <c r="N21" s="10" t="inlineStr">
        <is>
          <t>曲阜金毅不锈钢制品(回头率 34.20% / 30 天 1万+单 / 工厂直营)</t>
        </is>
      </c>
      <c r="O21" s="11" t="inlineStr">
        <is>
          <t>回头率 34.20% / 好评率 100% / 评价 15</t>
        </is>
      </c>
      <c r="P21" s="10" t="inlineStr">
        <is>
          <t>[绿灯 90分] ¥22/材20/规20/店10/交18 — ¥2466 折扣 47%/304 不锈钢+电动升降/爆款</t>
        </is>
      </c>
      <c r="Q21" s="10" t="n">
        <v>90</v>
      </c>
      <c r="R21" s="10" t="inlineStr">
        <is>
          <t>✅ 已选</t>
        </is>
      </c>
    </row>
    <row r="22">
      <c r="A22" s="8" t="inlineStr"/>
      <c r="B22" s="8" t="inlineStr">
        <is>
          <t>山东滨州 不锈钢开门+三面围挡浴缸(对标霍曼 PB20)</t>
        </is>
      </c>
      <c r="C22" s="8" t="inlineStr">
        <is>
          <t>B</t>
        </is>
      </c>
      <c r="D22" s="8" t="inlineStr">
        <is>
          <t>山东滨州 不锈钢开门+三面围挡浴缸</t>
        </is>
      </c>
      <c r="E22" s="9" t="inlineStr">
        <is>
          <t>120×70×90+深50 / 135×70×90+深50</t>
        </is>
      </c>
      <c r="F22" s="8" t="n">
        <v>1650</v>
      </c>
      <c r="G22" s="9" t="inlineStr">
        <is>
          <t>120×70×90+深50</t>
        </is>
      </c>
      <c r="H22" s="9" t="inlineStr">
        <is>
          <t>电动升降 / 304 不锈钢 / 跨境资质</t>
        </is>
      </c>
      <c r="I22" s="8" t="inlineStr">
        <is>
          <t>通用</t>
        </is>
      </c>
      <c r="J22" s="8" t="inlineStr"/>
      <c r="K22" s="8" t="inlineStr">
        <is>
          <t>12 月</t>
        </is>
      </c>
      <c r="L22" s="9" t="inlineStr">
        <is>
          <t>山东滨州 + 韵达 / 运费 ¥100 起 / 12+ SKU</t>
        </is>
      </c>
      <c r="M22" s="8" t="inlineStr">
        <is>
          <t>https://detail.1688.com/offer/910355788821.html</t>
        </is>
      </c>
      <c r="N22" s="8" t="inlineStr">
        <is>
          <t>滨州铭岳商用厨具(实力商家 slsj / 工厂直营 / 跨境资质)</t>
        </is>
      </c>
      <c r="O22" s="9" t="inlineStr">
        <is>
          <t>回头率 N/A / 评价 N/A</t>
        </is>
      </c>
      <c r="P22" s="8" t="inlineStr">
        <is>
          <t>[黄灯 84分⚠] ¥24/材20/规18/店8/交12 — ¥1650 折扣 64%/12+ SKU 阶梯/⚠price 字段 100.00 模板价未确认</t>
        </is>
      </c>
      <c r="Q22" s="8" t="n">
        <v>84</v>
      </c>
      <c r="R22" s="8" t="inlineStr">
        <is>
          <t>⚠ 备选 (待验价)</t>
        </is>
      </c>
    </row>
    <row r="23">
      <c r="A23" s="8" t="inlineStr"/>
      <c r="B23" s="8" t="inlineStr">
        <is>
          <t>佛山 34 寸不锈钢加厚浴缸(对标霍曼 PB20)</t>
        </is>
      </c>
      <c r="C23" s="8" t="inlineStr">
        <is>
          <t>C</t>
        </is>
      </c>
      <c r="D23" s="8" t="inlineStr">
        <is>
          <t>佛山 34 寸不锈钢加厚浴缸(左开门)</t>
        </is>
      </c>
      <c r="E23" s="9" t="inlineStr">
        <is>
          <t>870×488×1020mm(34 寸)</t>
        </is>
      </c>
      <c r="F23" s="8" t="n">
        <v>1440</v>
      </c>
      <c r="G23" s="9" t="inlineStr">
        <is>
          <t>870×488×1020mm(34 寸)</t>
        </is>
      </c>
      <c r="H23" s="9" t="inlineStr">
        <is>
          <t>电动升降 / 304 不锈钢 / 跨境资质</t>
        </is>
      </c>
      <c r="I23" s="8" t="inlineStr">
        <is>
          <t>通用</t>
        </is>
      </c>
      <c r="J23" s="8" t="inlineStr"/>
      <c r="K23" s="8" t="inlineStr">
        <is>
          <t>12 月</t>
        </is>
      </c>
      <c r="L23" s="9" t="inlineStr">
        <is>
          <t>广东佛山 / 运费 ¥200 起 / 1 件 ¥1440 / 50 件 ¥1260</t>
        </is>
      </c>
      <c r="M23" s="8" t="inlineStr">
        <is>
          <t>https://detail.1688.com/offer/741167169574.html</t>
        </is>
      </c>
      <c r="N23" s="8" t="inlineStr">
        <is>
          <t>阿里旺旺</t>
        </is>
      </c>
      <c r="O23" s="9" t="inlineStr"/>
      <c r="P23" s="8" t="inlineStr">
        <is>
          <t>[黄灯 77分] ¥25/材20/规12/店10/交10 — 尺寸偏小 87cm(只适合中犬)</t>
        </is>
      </c>
      <c r="Q23" s="8" t="n">
        <v>77</v>
      </c>
      <c r="R23" s="8" t="inlineStr">
        <is>
          <t>⚠ 备选</t>
        </is>
      </c>
    </row>
    <row r="24">
      <c r="A24" s="8" t="inlineStr"/>
      <c r="B24" s="8" t="inlineStr">
        <is>
          <t>江苏常州 SPA 智能按摩浴缸(对标霍曼 PB20)</t>
        </is>
      </c>
      <c r="C24" s="8" t="inlineStr">
        <is>
          <t>D</t>
        </is>
      </c>
      <c r="D24" s="8" t="inlineStr">
        <is>
          <t>江苏常州 SPA 智能按摩浴缸</t>
        </is>
      </c>
      <c r="E24" s="9" t="inlineStr">
        <is>
          <t>白色 / 五金池/气泡/冲浪/双功能多档</t>
        </is>
      </c>
      <c r="F24" s="8" t="n">
        <v>1790</v>
      </c>
      <c r="G24" s="9" t="inlineStr">
        <is>
          <t>白色</t>
        </is>
      </c>
      <c r="H24" s="9" t="inlineStr">
        <is>
          <t>电动升降 / 304 不锈钢 / 跨境资质</t>
        </is>
      </c>
      <c r="I24" s="8" t="inlineStr">
        <is>
          <t>通用</t>
        </is>
      </c>
      <c r="J24" s="8" t="inlineStr"/>
      <c r="K24" s="8" t="inlineStr">
        <is>
          <t>12 月</t>
        </is>
      </c>
      <c r="L24" s="9" t="inlineStr">
        <is>
          <t>江苏常州 / 运费 ¥1 起 / 48h 揽收率 100%</t>
        </is>
      </c>
      <c r="M24" s="8" t="inlineStr">
        <is>
          <t>https://detail.1688.com/offer/1039900373293.html</t>
        </is>
      </c>
      <c r="N24" s="8" t="inlineStr">
        <is>
          <t>阿里旺旺 (已售 480)</t>
        </is>
      </c>
      <c r="O24" s="9" t="inlineStr">
        <is>
          <t>回头率 N/A</t>
        </is>
      </c>
      <c r="P24" s="8" t="inlineStr">
        <is>
          <t>[绿灯 88分] ¥24/材18/规14/店14/交18 — ¥1790 折扣 ~50%/SPA 升级方向/已售 480 爆款</t>
        </is>
      </c>
      <c r="Q24" s="8" t="n">
        <v>88</v>
      </c>
      <c r="R24" s="8" t="inlineStr">
        <is>
          <t>⚠ 备选</t>
        </is>
      </c>
    </row>
    <row r="25">
      <c r="A25" s="1" t="inlineStr">
        <is>
          <t>🔧 设备5 · 电动美容方桌 BT20M(中号)</t>
        </is>
      </c>
    </row>
    <row r="26">
      <c r="A26" s="5" t="inlineStr">
        <is>
          <t>💡 平替搜索提示: 96×65×(52-100) 电动升降,八叉底座,多挂钩孔,承重 ≥60kg</t>
        </is>
      </c>
    </row>
    <row r="27">
      <c r="A27" s="8" t="inlineStr"/>
      <c r="B27" s="8" t="inlineStr">
        <is>
          <t>丽泽宠物美容桌(对标霍曼 BT20M)</t>
        </is>
      </c>
      <c r="C27" s="8" t="inlineStr">
        <is>
          <t>A</t>
        </is>
      </c>
      <c r="D27" s="8" t="inlineStr">
        <is>
          <t>丽泽宠物美容桌电动液压气动升降</t>
        </is>
      </c>
      <c r="E27" s="9" t="inlineStr">
        <is>
          <t>无框电动 120×60×(20-95)cm / Z型 125×65×(62-110)cm / LED 款</t>
        </is>
      </c>
      <c r="F27" s="8" t="n">
        <v>1680</v>
      </c>
      <c r="G27" s="9" t="inlineStr">
        <is>
          <t>无框电动 120×60×(20-95)cm</t>
        </is>
      </c>
      <c r="H27" s="9" t="inlineStr">
        <is>
          <t>电动升降 / 跨境电商</t>
        </is>
      </c>
      <c r="I27" s="8" t="inlineStr">
        <is>
          <t>通用</t>
        </is>
      </c>
      <c r="J27" s="8" t="inlineStr"/>
      <c r="K27" s="8" t="inlineStr">
        <is>
          <t>12 月</t>
        </is>
      </c>
      <c r="L27" s="9" t="inlineStr">
        <is>
          <t>山东丽泽 8 年老店 / 30+ SKU 阶梯</t>
        </is>
      </c>
      <c r="M27" s="8" t="inlineStr">
        <is>
          <t>https://detail.1688.com/offer/717155848775.html</t>
        </is>
      </c>
      <c r="N27" s="8" t="inlineStr">
        <is>
          <t>丽泽宠物用品(回头率 14% / 好评率 98.7%)</t>
        </is>
      </c>
      <c r="O27" s="9" t="inlineStr"/>
      <c r="P27" s="8" t="inlineStr">
        <is>
          <t>[绿灯 86分] ¥18/材20/规20/店12/交16 — 30+ SKU 阶梯/电动款对标完美/价格估</t>
        </is>
      </c>
      <c r="Q27" s="8" t="n">
        <v>86</v>
      </c>
      <c r="R27" s="8" t="inlineStr">
        <is>
          <t>⚠ 备选 (价估)</t>
        </is>
      </c>
    </row>
    <row r="28">
      <c r="A28" s="8" t="inlineStr"/>
      <c r="B28" s="8" t="inlineStr">
        <is>
          <t>山东济宁跨境工厂美容桌(对标霍曼 BT20M)</t>
        </is>
      </c>
      <c r="C28" s="8" t="inlineStr">
        <is>
          <t>B</t>
        </is>
      </c>
      <c r="D28" s="8" t="inlineStr">
        <is>
          <t>山东济宁跨境工厂美容桌</t>
        </is>
      </c>
      <c r="E28" s="9" t="inlineStr">
        <is>
          <t>方形电动美容桌 粉色/黑色</t>
        </is>
      </c>
      <c r="F28" s="8" t="n">
        <v>1450</v>
      </c>
      <c r="G28" s="9" t="inlineStr">
        <is>
          <t>方形电动美容桌 粉色</t>
        </is>
      </c>
      <c r="H28" s="9" t="inlineStr">
        <is>
          <t>电动升降 / 跨境电商</t>
        </is>
      </c>
      <c r="I28" s="8" t="inlineStr">
        <is>
          <t>通用</t>
        </is>
      </c>
      <c r="J28" s="8" t="inlineStr"/>
      <c r="K28" s="8" t="inlineStr">
        <is>
          <t>12 月</t>
        </is>
      </c>
      <c r="L28" s="9" t="inlineStr">
        <is>
          <t>山东济宁跨境工厂 / 库存 9999 / 包邮</t>
        </is>
      </c>
      <c r="M28" s="8" t="inlineStr">
        <is>
          <t>https://detail.1688.com/offer/1051337825170.html</t>
        </is>
      </c>
      <c r="N28" s="8" t="inlineStr">
        <is>
          <t>阿里旺旺 (48h 揽收率 100%)</t>
        </is>
      </c>
      <c r="O28" s="9" t="inlineStr"/>
      <c r="P28" s="8" t="inlineStr">
        <is>
          <t>[绿灯 80分] ¥20/材18/规16/店8/交18 — ¥1450 跨境资质/48h 揽收/库存 9999</t>
        </is>
      </c>
      <c r="Q28" s="8" t="n">
        <v>80</v>
      </c>
      <c r="R28" s="8" t="inlineStr">
        <is>
          <t>⚠ 备选</t>
        </is>
      </c>
    </row>
    <row r="29">
      <c r="A29" s="8" t="inlineStr"/>
      <c r="B29" s="8" t="inlineStr">
        <is>
          <t>普佳曲阜宠物手术台美容桌(对标霍曼 BT20M)</t>
        </is>
      </c>
      <c r="C29" s="8" t="inlineStr">
        <is>
          <t>C</t>
        </is>
      </c>
      <c r="D29" s="8" t="inlineStr">
        <is>
          <t>普佳曲阜宠物手术台美容桌</t>
        </is>
      </c>
      <c r="E29" s="9" t="inlineStr">
        <is>
          <t>电动方形美容桌</t>
        </is>
      </c>
      <c r="F29" s="8" t="n">
        <v>425</v>
      </c>
      <c r="G29" s="9" t="inlineStr">
        <is>
          <t>电动方形美容桌</t>
        </is>
      </c>
      <c r="H29" s="9" t="inlineStr">
        <is>
          <t>电动升降 / 跨境电商</t>
        </is>
      </c>
      <c r="I29" s="8" t="inlineStr">
        <is>
          <t>通用</t>
        </is>
      </c>
      <c r="J29" s="8" t="inlineStr"/>
      <c r="K29" s="8" t="inlineStr">
        <is>
          <t>12 月</t>
        </is>
      </c>
      <c r="L29" s="9" t="inlineStr">
        <is>
          <t>山东曲阜 / 工厂直营</t>
        </is>
      </c>
      <c r="M29" s="8" t="inlineStr">
        <is>
          <t>https://detail.1688.com/offer/1009226476426.html</t>
        </is>
      </c>
      <c r="N29" s="8" t="inlineStr">
        <is>
          <t>阿里旺旺 (普佳金属制品)</t>
        </is>
      </c>
      <c r="O29" s="9" t="inlineStr"/>
      <c r="P29" s="8" t="inlineStr">
        <is>
          <t>[黄灯 76分] ¥22/材18/规14/店8/交14 — ¥425 手术台衍生/医用级稳定</t>
        </is>
      </c>
      <c r="Q29" s="8" t="n">
        <v>76</v>
      </c>
      <c r="R29" s="8" t="inlineStr">
        <is>
          <t>⚠ 备选</t>
        </is>
      </c>
    </row>
    <row r="30">
      <c r="A30" s="10" t="inlineStr"/>
      <c r="B30" s="10" t="inlineStr">
        <is>
          <t>304 不锈钢宠物美容桌专业(对标霍曼 BT20M) 【v3 已选】</t>
        </is>
      </c>
      <c r="C30" s="10" t="inlineStr">
        <is>
          <t>D</t>
        </is>
      </c>
      <c r="D30" s="10" t="inlineStr">
        <is>
          <t>某厂 304 不锈钢宠物美容桌专业</t>
        </is>
      </c>
      <c r="E30" s="11" t="inlineStr">
        <is>
          <t>124×64×(34-97)cm 电动升降</t>
        </is>
      </c>
      <c r="F30" s="10" t="n">
        <v>519</v>
      </c>
      <c r="G30" s="11" t="inlineStr">
        <is>
          <t>124×64×(34-97)cm 电动升降</t>
        </is>
      </c>
      <c r="H30" s="11" t="inlineStr">
        <is>
          <t>304 不锈钢 / 电动升降 / 跨境电商 / 17 款 SKU</t>
        </is>
      </c>
      <c r="I30" s="10" t="inlineStr">
        <is>
          <t>通用</t>
        </is>
      </c>
      <c r="J30" s="10" t="inlineStr">
        <is>
          <t>实力工厂 cht</t>
        </is>
      </c>
      <c r="K30" s="10" t="inlineStr">
        <is>
          <t>12 月</t>
        </is>
      </c>
      <c r="L30" s="11" t="inlineStr">
        <is>
          <t>广东佛山 / 3050 已售 / 30,000g 重型 / 包邮 / 48h 发货</t>
        </is>
      </c>
      <c r="M30" s="10" t="inlineStr">
        <is>
          <t>https://detail.1688.com/offer/1000692968156.html</t>
        </is>
      </c>
      <c r="N30" s="10" t="inlineStr">
        <is>
          <t>佛山市酷格卫浴科技有限公司(实力工厂 cht)</t>
        </is>
      </c>
      <c r="O30" s="11" t="inlineStr">
        <is>
          <t>回头率 N/A</t>
        </is>
      </c>
      <c r="P30" s="10" t="inlineStr">
        <is>
          <t>[绿灯 88分] ¥23/材22/规18/店12/交13 — ¥519 折扣 76%/304 不锈钢+电动升降+跨境资质</t>
        </is>
      </c>
      <c r="Q30" s="10" t="n">
        <v>88</v>
      </c>
      <c r="R30" s="10" t="inlineStr">
        <is>
          <t>✅ 已选</t>
        </is>
      </c>
    </row>
    <row r="31">
      <c r="A31" s="1" t="inlineStr">
        <is>
          <t>🔧 设备6 · 气动美容圆桌 BT10</t>
        </is>
      </c>
    </row>
    <row r="32">
      <c r="A32" s="5" t="inlineStr">
        <is>
          <t>💡 平替搜索提示: 直径 60cm 高 72-102 气动升降,PVC 防滑桌面</t>
        </is>
      </c>
    </row>
    <row r="33">
      <c r="A33" s="8" t="inlineStr"/>
      <c r="B33" s="8" t="inlineStr">
        <is>
          <t>中山喵叮当气压升降宠物美容圆桌(对标霍曼 BT10)</t>
        </is>
      </c>
      <c r="C33" s="8" t="inlineStr">
        <is>
          <t>A</t>
        </is>
      </c>
      <c r="D33" s="8" t="inlineStr">
        <is>
          <t>中山喵叮当宠物用品</t>
        </is>
      </c>
      <c r="E33" s="9" t="inlineStr">
        <is>
          <t>气压升降宠物美容圆桌 60cm 黑色桌面白色底座(可定 70cm)</t>
        </is>
      </c>
      <c r="F33" s="8" t="n">
        <v>338</v>
      </c>
      <c r="G33" s="9" t="inlineStr">
        <is>
          <t>66×64×22cm (60cm 桌面, 含轮)</t>
        </is>
      </c>
      <c r="H33" s="9" t="inlineStr">
        <is>
          <t>气动升降 / 360 旋转 / 金属 + PVC 桌面</t>
        </is>
      </c>
      <c r="I33" s="8" t="inlineStr">
        <is>
          <t>通用</t>
        </is>
      </c>
      <c r="J33" s="8" t="inlineStr">
        <is>
          <t>实力工厂 cht / 1688 优选</t>
        </is>
      </c>
      <c r="K33" s="8" t="inlineStr">
        <is>
          <t>12 月</t>
        </is>
      </c>
      <c r="L33" s="9" t="inlineStr">
        <is>
          <t>1 件起批 / 库存 100 / 广东中山发申通 / 8月8日达沪 / 运费 ¥38</t>
        </is>
      </c>
      <c r="M33" s="8" t="inlineStr">
        <is>
          <t>https://detail.1688.com/offer/1061989104107.html</t>
        </is>
      </c>
      <c r="N33" s="8" t="inlineStr">
        <is>
          <t>中山喵叮当宠物用品有限公司(回头率 19% / 好评率 100%)</t>
        </is>
      </c>
      <c r="O33" s="9" t="inlineStr">
        <is>
          <t>回头率 19% / 好评率 100%</t>
        </is>
      </c>
      <c r="P33" s="8" t="inlineStr">
        <is>
          <t>[绿灯 86分] ¥22/材16/规16/店12/交20 — ¥338 折扣 53%/12 色 SKU/1 件起批</t>
        </is>
      </c>
      <c r="Q33" s="8" t="n">
        <v>86</v>
      </c>
      <c r="R33" s="8" t="inlineStr">
        <is>
          <t>⚠ 备选</t>
        </is>
      </c>
    </row>
    <row r="34">
      <c r="A34" s="10" t="inlineStr"/>
      <c r="B34" s="10" t="inlineStr">
        <is>
          <t>宠物美容台气压圆形 旋转(对标霍曼 BT10) 【v3 已选】</t>
        </is>
      </c>
      <c r="C34" s="10" t="inlineStr">
        <is>
          <t>B</t>
        </is>
      </c>
      <c r="D34" s="10" t="inlineStr">
        <is>
          <t>某厂 宠物美容台气压圆形</t>
        </is>
      </c>
      <c r="E34" s="11" t="inlineStr">
        <is>
          <t>60cm 黑色/蓝色/粉色桌面+支架(可定 70cm)</t>
        </is>
      </c>
      <c r="F34" s="10" t="n">
        <v>338</v>
      </c>
      <c r="G34" s="11" t="inlineStr">
        <is>
          <t>66×66×26cm (60cm 桌面)</t>
        </is>
      </c>
      <c r="H34" s="11" t="inlineStr">
        <is>
          <t>气动升降 / 360 旋转 / 含挂架吊绳 / 12 色 SKU</t>
        </is>
      </c>
      <c r="I34" s="10" t="inlineStr">
        <is>
          <t>通用</t>
        </is>
      </c>
      <c r="J34" s="10" t="inlineStr"/>
      <c r="K34" s="10" t="inlineStr">
        <is>
          <t>12 月</t>
        </is>
      </c>
      <c r="L34" s="11" t="inlineStr">
        <is>
          <t>(待登录确认)/ 已售 898 / 运费 ¥38</t>
        </is>
      </c>
      <c r="M34" s="10" t="inlineStr">
        <is>
          <t>https://detail.1688.com/offer/976216930064.html</t>
        </is>
      </c>
      <c r="N34" s="10" t="inlineStr">
        <is>
          <t>中山喵叮当宠物用品有限公司(实力工厂 cht / 1688 优选)</t>
        </is>
      </c>
      <c r="O34" s="11" t="inlineStr">
        <is>
          <t>回头率 N/A</t>
        </is>
      </c>
      <c r="P34" s="10" t="inlineStr">
        <is>
          <t>[绿灯 88分] ¥22/材14/规16/店14/交22 — ¥338 折扣 53%/12 色 SKU/已售 898</t>
        </is>
      </c>
      <c r="Q34" s="10" t="n">
        <v>88</v>
      </c>
      <c r="R34" s="10" t="inlineStr">
        <is>
          <t>✅ 已选</t>
        </is>
      </c>
    </row>
    <row r="35">
      <c r="A35" s="8" t="inlineStr"/>
      <c r="B35" s="8" t="inlineStr">
        <is>
          <t>宠物美容桌气压旋转桌 M-606(对标霍曼 BT10)</t>
        </is>
      </c>
      <c r="C35" s="8" t="inlineStr">
        <is>
          <t>C</t>
        </is>
      </c>
      <c r="D35" s="8" t="inlineStr">
        <is>
          <t>某厂 宠物美容桌气压旋转桌 M-606</t>
        </is>
      </c>
      <c r="E35" s="9" t="inlineStr">
        <is>
          <t>圆形白腿黑面 / 圆形黑腿黑面 / 方形白腿黑面 / 桌面直径 60cm</t>
        </is>
      </c>
      <c r="F35" s="8" t="n">
        <v>398</v>
      </c>
      <c r="G35" s="9" t="inlineStr">
        <is>
          <t>桌面直径 60cm</t>
        </is>
      </c>
      <c r="H35" s="9" t="inlineStr">
        <is>
          <t>气动升降 / 美容学校宠物店用 / M-606 经典款</t>
        </is>
      </c>
      <c r="I35" s="8" t="inlineStr">
        <is>
          <t>通用</t>
        </is>
      </c>
      <c r="J35" s="8" t="inlineStr">
        <is>
          <t>跨境</t>
        </is>
      </c>
      <c r="K35" s="8" t="inlineStr">
        <is>
          <t>12 月</t>
        </is>
      </c>
      <c r="L35" s="9" t="inlineStr">
        <is>
          <t>江苏苏州 / 库存 951 / 已售 30+ / 申通快递 / 运费 ¥36 起</t>
        </is>
      </c>
      <c r="M35" s="8" t="inlineStr">
        <is>
          <t>https://detail.1688.com/offer/599614933249.html</t>
        </is>
      </c>
      <c r="N35" s="8" t="inlineStr">
        <is>
          <t>(待登录查店铺名)</t>
        </is>
      </c>
      <c r="O35" s="9" t="inlineStr"/>
      <c r="P35" s="8" t="inlineStr">
        <is>
          <t>[黄灯 78分] ¥22/材14/规16/店14/交12 — ¥398 折扣 45%/2 件起批/库存 951</t>
        </is>
      </c>
      <c r="Q35" s="8" t="n">
        <v>78</v>
      </c>
      <c r="R35" s="8" t="inlineStr">
        <is>
          <t>⚠ 备选</t>
        </is>
      </c>
    </row>
    <row r="36">
      <c r="A36" s="1" t="inlineStr">
        <is>
          <t>🔧 设备7 · 肩托式挂脖吹水机 ND10</t>
        </is>
      </c>
    </row>
    <row r="37">
      <c r="A37" s="5" t="inlineStr">
        <is>
          <t>💡 平替搜索提示: 主机 24×4.8×7.3 支架 44×9×10,9档风速,负离子,肩托分压</t>
        </is>
      </c>
    </row>
    <row r="38">
      <c r="A38" s="8" t="inlineStr"/>
      <c r="B38" s="8" t="inlineStr">
        <is>
          <t>金华某厂家 C02 系列手持吹水机(对标霍曼 ND10)</t>
        </is>
      </c>
      <c r="C38" s="8" t="inlineStr">
        <is>
          <t>A</t>
        </is>
      </c>
      <c r="D38" s="8" t="inlineStr">
        <is>
          <t>金华某厂家 C02 系列手持吹水机</t>
        </is>
      </c>
      <c r="E38" s="9" t="inlineStr">
        <is>
          <t>C02 旋钮调速 / C02 智能触摸 / C02 智能触摸负离子</t>
        </is>
      </c>
      <c r="F38" s="8" t="n">
        <v>180</v>
      </c>
      <c r="G38" s="9" t="inlineStr">
        <is>
          <t>35.5×22×29.5cm (手持非挂脖)</t>
        </is>
      </c>
      <c r="H38" s="9" t="inlineStr">
        <is>
          <t>3C 认证 / 触摸负离子 / 3 个 SKU 阶梯</t>
        </is>
      </c>
      <c r="I38" s="8" t="inlineStr">
        <is>
          <t>通用</t>
        </is>
      </c>
      <c r="J38" s="8" t="inlineStr"/>
      <c r="K38" s="8" t="inlineStr">
        <is>
          <t>12 月</t>
        </is>
      </c>
      <c r="L38" s="9" t="inlineStr">
        <is>
          <t>浙江金华 / 200+ 已售 / 60 天老客价</t>
        </is>
      </c>
      <c r="M38" s="8" t="inlineStr">
        <is>
          <t>https://detail.1688.com/offer/1060117615378.html</t>
        </is>
      </c>
      <c r="N38" s="8" t="inlineStr">
        <is>
          <t>(待登录查店铺名)</t>
        </is>
      </c>
      <c r="O38" s="9" t="inlineStr"/>
      <c r="P38" s="8" t="inlineStr">
        <is>
          <t>[黄灯 66分] ¥24/材14/规8/店8/交12 — ¥180 折扣 60%+/⚠ 手持非挂脖款</t>
        </is>
      </c>
      <c r="Q38" s="8" t="n">
        <v>66</v>
      </c>
      <c r="R38" s="8" t="inlineStr">
        <is>
          <t>⚠ 备选 (非挂脖)</t>
        </is>
      </c>
    </row>
    <row r="39">
      <c r="A39" s="10" t="inlineStr"/>
      <c r="B39" s="10" t="inlineStr">
        <is>
          <t>江苏常州超伦挂脖宠物吹风机(对标霍曼 ND10) 【v3 已选】</t>
        </is>
      </c>
      <c r="C39" s="10" t="inlineStr">
        <is>
          <t>B</t>
        </is>
      </c>
      <c r="D39" s="10" t="inlineStr">
        <is>
          <t>江苏常州超伦挂脖宠物吹风机</t>
        </is>
      </c>
      <c r="E39" s="11" t="inlineStr">
        <is>
          <t>挂脖宠物吹风机跨境高速静音 极地白 8.48×8.54×8.54cm (310g)</t>
        </is>
      </c>
      <c r="F39" s="10" t="n">
        <v>299</v>
      </c>
      <c r="G39" s="11" t="inlineStr">
        <is>
          <t>3.28×8.48×8.54cm (310g)</t>
        </is>
      </c>
      <c r="H39" s="11" t="inlineStr">
        <is>
          <t>跨境 / 高速静音 / 1200-1599W / ABS / 2 件起批</t>
        </is>
      </c>
      <c r="I39" s="10" t="inlineStr">
        <is>
          <t>通用</t>
        </is>
      </c>
      <c r="J39" s="10" t="inlineStr">
        <is>
          <t>跨境大厂</t>
        </is>
      </c>
      <c r="K39" s="10" t="inlineStr">
        <is>
          <t>12 月</t>
        </is>
      </c>
      <c r="L39" s="11" t="inlineStr">
        <is>
          <t>江苏常州 / 库存 8870 / 中通快递 / 1000+ 已售 / 包邮</t>
        </is>
      </c>
      <c r="M39" s="10" t="inlineStr">
        <is>
          <t>https://detail.1688.com/offer/1015772639577.html</t>
        </is>
      </c>
      <c r="N39" s="10" t="inlineStr">
        <is>
          <t>常州乐活宠物用品有限公司(实力工厂 cht / slsj)</t>
        </is>
      </c>
      <c r="O39" s="11" t="inlineStr">
        <is>
          <t>回头率 N/A</t>
        </is>
      </c>
      <c r="P39" s="10" t="inlineStr">
        <is>
          <t>[绿灯 84分] ¥22/材16/规14/店14/交18 — ¥299 折扣 35%/310g 真挂脖款/1000+ 销量/⚠ SKU 标注"非吊臂式"</t>
        </is>
      </c>
      <c r="Q39" s="10" t="n">
        <v>84</v>
      </c>
      <c r="R39" s="10" t="inlineStr">
        <is>
          <t>✅ 已选</t>
        </is>
      </c>
    </row>
    <row r="40">
      <c r="A40" s="8" t="inlineStr"/>
      <c r="B40" s="8" t="inlineStr">
        <is>
          <t>浙江金华 宠物吹水机(大型犬)(对标霍曼 ND10)</t>
        </is>
      </c>
      <c r="C40" s="8" t="inlineStr">
        <is>
          <t>C</t>
        </is>
      </c>
      <c r="D40" s="8" t="inlineStr">
        <is>
          <t>浙江金华 宠物吹水机(大型犬)</t>
        </is>
      </c>
      <c r="E40" s="9" t="inlineStr">
        <is>
          <t>宠物吹水机 大型犬用 静音洗澡吹风</t>
        </is>
      </c>
      <c r="F40" s="8" t="n">
        <v>135</v>
      </c>
      <c r="G40" s="9" t="inlineStr">
        <is>
          <t>(待登录确认)</t>
        </is>
      </c>
      <c r="H40" s="9" t="inlineStr">
        <is>
          <t>2 个起批 / 大型犬用 / 2000W+ / 3C 2025150709057655</t>
        </is>
      </c>
      <c r="I40" s="8" t="inlineStr">
        <is>
          <t>通用 / 大型犬</t>
        </is>
      </c>
      <c r="J40" s="8" t="inlineStr">
        <is>
          <t>工厂直营</t>
        </is>
      </c>
      <c r="K40" s="8" t="inlineStr">
        <is>
          <t>12 月</t>
        </is>
      </c>
      <c r="L40" s="9" t="inlineStr">
        <is>
          <t>浙江金华 / 200+ 已售 / 60 天老客价</t>
        </is>
      </c>
      <c r="M40" s="8" t="inlineStr">
        <is>
          <t>https://detail.1688.com/offer/1064471549983.html</t>
        </is>
      </c>
      <c r="N40" s="8" t="inlineStr">
        <is>
          <t>永康前呈工贸有限公司(回头率 61.18% / 102 评 100%)</t>
        </is>
      </c>
      <c r="O40" s="9" t="inlineStr">
        <is>
          <t>回头率 61.18% / 好评率 100%</t>
        </is>
      </c>
      <c r="P40" s="8" t="inlineStr">
        <is>
          <t>[黄灯 67分] ¥25/材12/规8/店10/交12 — ¥135 折扣 70%+/⚠ SKU 标注"非吊臂式"=手持非挂脖</t>
        </is>
      </c>
      <c r="Q40" s="8" t="n">
        <v>67</v>
      </c>
      <c r="R40" s="8" t="inlineStr">
        <is>
          <t>⚠ 备选 (大狗 backup)</t>
        </is>
      </c>
    </row>
  </sheetData>
  <mergeCells count="16">
    <mergeCell ref="A20:R20"/>
    <mergeCell ref="A26:R26"/>
    <mergeCell ref="A15:R15"/>
    <mergeCell ref="A25:R25"/>
    <mergeCell ref="A2:R2"/>
    <mergeCell ref="A19:R19"/>
    <mergeCell ref="A10:R10"/>
    <mergeCell ref="A32:R32"/>
    <mergeCell ref="A36:R36"/>
    <mergeCell ref="A14:R14"/>
    <mergeCell ref="A5:R5"/>
    <mergeCell ref="A1:R1"/>
    <mergeCell ref="A9:R9"/>
    <mergeCell ref="A37:R37"/>
    <mergeCell ref="A31:R31"/>
    <mergeCell ref="A4:R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50" customWidth="1" min="4" max="4"/>
    <col width="28" customWidth="1" min="5" max="5"/>
    <col width="10" customWidth="1" min="6" max="6"/>
    <col width="8" customWidth="1" min="7" max="7"/>
    <col width="60" customWidth="1" min="8" max="8"/>
    <col width="12" customWidth="1" min="9" max="9"/>
  </cols>
  <sheetData>
    <row r="1">
      <c r="A1" s="1" t="inlineStr">
        <is>
          <t>决策辅助 — 空间适配检查 + 总价对比 + 最终选品 【v5: 霍曼新样机价 18,299(6 件)+ 圆桌另买 = 19,019,v4 平替 12,243 省 6,776 (35.6% off)】</t>
        </is>
      </c>
    </row>
    <row r="2">
      <c r="A2" s="5" t="inlineStr">
        <is>
          <t>📐 空间:3400mm(长)×3600mm(宽)=12.24㎡(霍曼12~15㎡ 套餐适用)。走道预留≥60cm,操作半径≥80cm。</t>
        </is>
      </c>
    </row>
    <row r="4">
      <c r="A4" s="1" t="inlineStr">
        <is>
          <t>3.1 空间适配检查 — 每个设备外尺寸 vs 摆放区</t>
        </is>
      </c>
    </row>
    <row r="5">
      <c r="A5" s="2" t="inlineStr">
        <is>
          <t>设备</t>
        </is>
      </c>
      <c r="B5" s="2" t="inlineStr">
        <is>
          <t>外尺寸 (cm)</t>
        </is>
      </c>
      <c r="C5" s="2" t="inlineStr">
        <is>
          <t>摆放位置</t>
        </is>
      </c>
      <c r="D5" s="2" t="inlineStr">
        <is>
          <t>占地 (cm²)</t>
        </is>
      </c>
      <c r="E5" s="2" t="inlineStr">
        <is>
          <t>占长边?</t>
        </is>
      </c>
      <c r="F5" s="2" t="inlineStr">
        <is>
          <t>占宽边?</t>
        </is>
      </c>
      <c r="G5" s="2" t="inlineStr">
        <is>
          <t>走道余量</t>
        </is>
      </c>
      <c r="H5" s="2" t="inlineStr">
        <is>
          <t>竖向净空</t>
        </is>
      </c>
      <c r="I5" s="2" t="inlineStr">
        <is>
          <t>通过?</t>
        </is>
      </c>
    </row>
    <row r="6">
      <c r="A6" s="3" t="inlineStr">
        <is>
          <t>低压洗护台 LGT110</t>
        </is>
      </c>
      <c r="B6" s="3" t="inlineStr">
        <is>
          <t>110 × 66.5 × 106</t>
        </is>
      </c>
      <c r="C6" s="3" t="inlineStr">
        <is>
          <t>洗护区 中央/靠左</t>
        </is>
      </c>
      <c r="D6" s="3" t="inlineStr">
        <is>
          <t>靠左墙放,内嵌 SD80</t>
        </is>
      </c>
      <c r="E6" s="3" t="inlineStr">
        <is>
          <t>—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✅</t>
        </is>
      </c>
    </row>
    <row r="7">
      <c r="A7" s="3" t="inlineStr">
        <is>
          <t>扫风烘干箱 SD80</t>
        </is>
      </c>
      <c r="B7" s="3" t="inlineStr">
        <is>
          <t>53.2 × 57.3 × 71.4</t>
        </is>
      </c>
      <c r="C7" s="3" t="inlineStr">
        <is>
          <t>低压洗护台内置位/右侧壁</t>
        </is>
      </c>
      <c r="D7" s="3" t="inlineStr">
        <is>
          <t>嵌入 LGT110 内置位 65×51×22 够放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✅</t>
        </is>
      </c>
    </row>
    <row r="8">
      <c r="A8" s="3" t="inlineStr">
        <is>
          <t>扫风烘干箱 PDB350</t>
        </is>
      </c>
      <c r="B8" s="3" t="inlineStr">
        <is>
          <t>105 × 73 × 98</t>
        </is>
      </c>
      <c r="C8" s="3" t="inlineStr">
        <is>
          <t>洗护区 对面墙/独立位</t>
        </is>
      </c>
      <c r="D8" s="3" t="inlineStr">
        <is>
          <t>3800W 单独走线</t>
        </is>
      </c>
      <c r="E8" s="3" t="inlineStr">
        <is>
          <t>—</t>
        </is>
      </c>
      <c r="F8" s="3" t="inlineStr">
        <is>
          <t>—</t>
        </is>
      </c>
      <c r="G8" s="3" t="inlineStr">
        <is>
          <t>—</t>
        </is>
      </c>
      <c r="H8" s="3" t="inlineStr">
        <is>
          <t>—</t>
        </is>
      </c>
      <c r="I8" s="3" t="inlineStr">
        <is>
          <t>✅</t>
        </is>
      </c>
    </row>
    <row r="9">
      <c r="A9" s="3" t="inlineStr">
        <is>
          <t>不锈钢电动浴缸 PB20</t>
        </is>
      </c>
      <c r="B9" s="3" t="inlineStr">
        <is>
          <t>127 × 67 × (106-176)</t>
        </is>
      </c>
      <c r="C9" s="3" t="inlineStr">
        <is>
          <t>洗护区 沿窗墙</t>
        </is>
      </c>
      <c r="D9" s="3" t="inlineStr">
        <is>
          <t>靠窗,升降最大 176 净高要够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—</t>
        </is>
      </c>
      <c r="I9" s="3" t="inlineStr">
        <is>
          <t>✅</t>
        </is>
      </c>
    </row>
    <row r="10">
      <c r="A10" s="3" t="inlineStr">
        <is>
          <t>电动美容方桌 BT20M</t>
        </is>
      </c>
      <c r="B10" s="3" t="inlineStr">
        <is>
          <t>96 × 65 × (52-100)</t>
        </is>
      </c>
      <c r="C10" s="3" t="inlineStr">
        <is>
          <t>洗护区 靠右墙</t>
        </is>
      </c>
      <c r="D10" s="3" t="inlineStr">
        <is>
          <t>可调高</t>
        </is>
      </c>
      <c r="E10" s="3" t="inlineStr">
        <is>
          <t>—</t>
        </is>
      </c>
      <c r="F10" s="3" t="inlineStr">
        <is>
          <t>—</t>
        </is>
      </c>
      <c r="G10" s="3" t="inlineStr">
        <is>
          <t>—</t>
        </is>
      </c>
      <c r="H10" s="3" t="inlineStr">
        <is>
          <t>—</t>
        </is>
      </c>
      <c r="I10" s="3" t="inlineStr">
        <is>
          <t>✅</t>
        </is>
      </c>
    </row>
    <row r="11">
      <c r="A11" s="3" t="inlineStr">
        <is>
          <t>气动美容圆桌 BT10</t>
        </is>
      </c>
      <c r="B11" s="3" t="inlineStr">
        <is>
          <t>直径60 × (72-102)</t>
        </is>
      </c>
      <c r="C11" s="3" t="inlineStr">
        <is>
          <t>备用位/门口旁</t>
        </is>
      </c>
      <c r="D11" s="3" t="inlineStr">
        <is>
          <t>可旋转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✅</t>
        </is>
      </c>
    </row>
    <row r="12">
      <c r="A12" s="3" t="inlineStr">
        <is>
          <t>挂脖吹水机 ND10</t>
        </is>
      </c>
      <c r="B12" s="3" t="inlineStr">
        <is>
          <t>主机 24×4.8×7.3</t>
        </is>
      </c>
      <c r="C12" s="3" t="inlineStr">
        <is>
          <t>宠物美容师佩戴</t>
        </is>
      </c>
      <c r="D12" s="3" t="inlineStr">
        <is>
          <t>挂脖用,不占地</t>
        </is>
      </c>
      <c r="E12" s="3" t="inlineStr">
        <is>
          <t>—</t>
        </is>
      </c>
      <c r="F12" s="3" t="inlineStr">
        <is>
          <t>—</t>
        </is>
      </c>
      <c r="G12" s="3" t="inlineStr">
        <is>
          <t>—</t>
        </is>
      </c>
      <c r="H12" s="3" t="inlineStr">
        <is>
          <t>—</t>
        </is>
      </c>
      <c r="I12" s="3" t="inlineStr">
        <is>
          <t>✅</t>
        </is>
      </c>
    </row>
    <row r="13">
      <c r="A13" s="3" t="inlineStr">
        <is>
          <t>小吹水机 (赠品腕托)</t>
        </is>
      </c>
      <c r="B13" s="3" t="inlineStr">
        <is>
          <t>小件</t>
        </is>
      </c>
      <c r="C13" s="3" t="inlineStr">
        <is>
          <t>操作台上</t>
        </is>
      </c>
      <c r="D13" s="3" t="inlineStr">
        <is>
          <t>不占地</t>
        </is>
      </c>
      <c r="E13" s="3" t="inlineStr">
        <is>
          <t>—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—</t>
        </is>
      </c>
      <c r="I13" s="3" t="inlineStr">
        <is>
          <t>✅</t>
        </is>
      </c>
    </row>
    <row r="16">
      <c r="A16" s="1" t="inlineStr">
        <is>
          <t>3.2 三套方案总价对比</t>
        </is>
      </c>
    </row>
    <row r="17">
      <c r="A17" s="2" t="inlineStr">
        <is>
          <t>方案</t>
        </is>
      </c>
      <c r="B17" s="2" t="inlineStr">
        <is>
          <t>总价 (¥)</t>
        </is>
      </c>
      <c r="C17" s="2" t="inlineStr">
        <is>
          <t>品牌组合</t>
        </is>
      </c>
      <c r="D17" s="2" t="inlineStr">
        <is>
          <t>性能匹配</t>
        </is>
      </c>
      <c r="E17" s="2" t="inlineStr">
        <is>
          <t>质保</t>
        </is>
      </c>
      <c r="F17" s="2" t="inlineStr">
        <is>
          <t>交货</t>
        </is>
      </c>
      <c r="G17" s="2" t="inlineStr">
        <is>
          <t>风险</t>
        </is>
      </c>
      <c r="H17" s="2" t="inlineStr">
        <is>
          <t>建议</t>
        </is>
      </c>
      <c r="I17" s="2" t="inlineStr">
        <is>
          <t>决策</t>
        </is>
      </c>
    </row>
    <row r="18">
      <c r="A18" s="3" t="inlineStr">
        <is>
          <t>方案 A · 霍曼新样机价</t>
        </is>
      </c>
      <c r="B18" s="3" t="n">
        <v>21519</v>
      </c>
      <c r="C18" s="3" t="n">
        <v>19019</v>
      </c>
      <c r="D18" s="3" t="inlineStr">
        <is>
          <t>霍曼 6 件样机(LGT110+SD80+PDB350+PB20+BT20M+ND10)¥18,299 + 圆桌 BT10 ¥720 另买 = ¥19,019(原 ¥21,978 降 ¥2,959)</t>
        </is>
      </c>
      <c r="E18" s="3" t="inlineStr">
        <is>
          <t>⭐⭐⭐⭐ 性能完美匹配 PDF / 样机 8-9 成新 / 质保从购买日起算(跟新机一样)</t>
        </is>
      </c>
      <c r="F18" s="3" t="inlineStr">
        <is>
          <t>现货</t>
        </is>
      </c>
      <c r="G18" s="3" t="inlineStr">
        <is>
          <t>现货 / 展会处理</t>
        </is>
      </c>
      <c r="H18" s="3" t="inlineStr">
        <is>
          <t>圆桌不在样机方案需另买(¥720);吹水机从赠品升级为正式件(+¥141)</t>
        </is>
      </c>
      <c r="I18" s="3" t="inlineStr">
        <is>
          <t>☞ 稳健首选(¥2,959 折扣但仍比平替贵 ¥6,776)</t>
        </is>
      </c>
    </row>
    <row r="19">
      <c r="A19" s="3" t="inlineStr">
        <is>
          <t>方案 B · 主件留霍曼,美容台/圆桌平替</t>
        </is>
      </c>
      <c r="B19" s="3" t="n">
        <v>15800</v>
      </c>
      <c r="C19" s="3" t="inlineStr">
        <is>
          <t>霍曼 LGT110+SD80+PDB350+PB20 + 平替 BT20M+BT10(国产)</t>
        </is>
      </c>
      <c r="D19" s="3" t="inlineStr">
        <is>
          <t>⭐⭐⭐⭐ 性能不变,降本 25%</t>
        </is>
      </c>
      <c r="E19" s="3" t="inlineStr">
        <is>
          <t>霍曼整机 + 平替 6 月</t>
        </is>
      </c>
      <c r="F19" s="3" t="inlineStr">
        <is>
          <t>平替需 7-15 天</t>
        </is>
      </c>
      <c r="G19" s="3" t="inlineStr">
        <is>
          <t>平替良莠不齐</t>
        </is>
      </c>
      <c r="H19" s="3" t="inlineStr">
        <is>
          <t>☞ 性价比首选</t>
        </is>
      </c>
      <c r="I19" s="3" t="inlineStr">
        <is>
          <t>☐ 未选</t>
        </is>
      </c>
    </row>
    <row r="20">
      <c r="A20" s="10" t="inlineStr">
        <is>
          <t>方案 C · 全平替 【v5 落地】</t>
        </is>
      </c>
      <c r="B20" s="10" t="n">
        <v>14112</v>
      </c>
      <c r="C20" s="10" t="n">
        <v>18243</v>
      </c>
      <c r="D20" s="10" t="inlineStr">
        <is>
          <t>v5: v4 平替 7 件 ¥12,243 + 囤货证照 ¥6,000 vs 霍曼新样机 7 件 ¥19,019,省 ¥6,776(35.6% off 新样机)</t>
        </is>
      </c>
      <c r="E20" s="10" t="inlineStr">
        <is>
          <t>⭐⭐⭐ 段#3 完美对标 430L 蔚德晟(容量 1.23x+功率 1.27x+内尺寸 1.98x);其余 5 段降本</t>
        </is>
      </c>
      <c r="F20" s="10" t="inlineStr">
        <is>
          <t>48h-7 天</t>
        </is>
      </c>
      <c r="G20" s="10" t="inlineStr">
        <is>
          <t>48h-7 天</t>
        </is>
      </c>
      <c r="H20" s="10" t="inlineStr">
        <is>
          <t>v4 平替方案不变;霍曼新样机价降 ¥2,959 但平替仍省 ¥6,776</t>
        </is>
      </c>
      <c r="I20" s="10" t="inlineStr">
        <is>
          <t>☞ 已选(平替 35.6% off 新样机)</t>
        </is>
      </c>
    </row>
    <row r="23">
      <c r="A23" s="1" t="inlineStr">
        <is>
          <t>3.3 下一步动作清单</t>
        </is>
      </c>
    </row>
    <row r="24">
      <c r="A24" s="3" t="inlineStr">
        <is>
          <t>1. Sheet 2 填 4-5 个候选品牌 — 重点:洗护台 + 烘干箱 + 浴缸 三大件,决定总预算 ✅ 已完成</t>
        </is>
      </c>
      <c r="B24" s="12" t="n"/>
      <c r="C24" s="12" t="n"/>
      <c r="D24" s="12" t="n"/>
      <c r="E24" s="12" t="n"/>
      <c r="F24" s="12" t="n"/>
      <c r="G24" s="12" t="n"/>
      <c r="H24" s="12" t="n"/>
      <c r="I24" s="13" t="n"/>
    </row>
    <row r="25">
      <c r="A25" s="3" t="inlineStr">
        <is>
          <t>2. 用『肩托式挂脖吹水机』『宠物低压洗护台 110cm 双池』『60kg 大烘干箱』上 1688 + 拼多多 + 京东 三平台搜 ✅ 已完成</t>
        </is>
      </c>
      <c r="B25" s="12" t="n"/>
      <c r="C25" s="12" t="n"/>
      <c r="D25" s="12" t="n"/>
      <c r="E25" s="12" t="n"/>
      <c r="F25" s="12" t="n"/>
      <c r="G25" s="12" t="n"/>
      <c r="H25" s="12" t="n"/>
      <c r="I25" s="13" t="n"/>
    </row>
    <row r="26">
      <c r="A26" s="3" t="inlineStr">
        <is>
          <t>3. 每家要点实物样品图 + 视频,平替件必须看到实物工作视频(防踩坑) — 待每家拿 1 件样品</t>
        </is>
      </c>
      <c r="B26" s="12" t="n"/>
      <c r="C26" s="12" t="n"/>
      <c r="D26" s="12" t="n"/>
      <c r="E26" s="12" t="n"/>
      <c r="F26" s="12" t="n"/>
      <c r="G26" s="12" t="n"/>
      <c r="H26" s="12" t="n"/>
      <c r="I26" s="13" t="n"/>
    </row>
    <row r="27">
      <c r="A27" s="3" t="inlineStr">
        <is>
          <t>4. 把喜欢的链接丢到 Sheet 2 评分,我帮你按权重打分(TCO/兼容性/口碑) ✅ 已完成</t>
        </is>
      </c>
      <c r="B27" s="12" t="n"/>
      <c r="C27" s="12" t="n"/>
      <c r="D27" s="12" t="n"/>
      <c r="E27" s="12" t="n"/>
      <c r="F27" s="12" t="n"/>
      <c r="G27" s="12" t="n"/>
      <c r="H27" s="12" t="n"/>
      <c r="I27" s="13" t="n"/>
    </row>
    <row r="28">
      <c r="A28" s="3" t="inlineStr">
        <is>
          <t>5. 选定后我把结果写进 BP 设备清单(startup capex 那段)+ DECISIONS 加一条 DEC-XXX ADR ✅ DEC-035 已写</t>
        </is>
      </c>
      <c r="B28" s="12" t="n"/>
      <c r="C28" s="12" t="n"/>
      <c r="D28" s="12" t="n"/>
      <c r="E28" s="12" t="n"/>
      <c r="F28" s="12" t="n"/>
      <c r="G28" s="12" t="n"/>
      <c r="H28" s="12" t="n"/>
      <c r="I28" s="13" t="n"/>
    </row>
    <row r="29">
      <c r="A29" s="3" t="inlineStr">
        <is>
          <t>6. v3 段#2 双备份:实地验两台实物(主用+备份)各看一次,确认噪音/温度/密封性差异 — 启动前 1 周执行</t>
        </is>
      </c>
      <c r="B29" s="12" t="n"/>
      <c r="C29" s="12" t="n"/>
      <c r="D29" s="12" t="n"/>
      <c r="E29" s="12" t="n"/>
      <c r="F29" s="12" t="n"/>
      <c r="G29" s="12" t="n"/>
      <c r="H29" s="12" t="n"/>
      <c r="I29" s="13" t="n"/>
    </row>
    <row r="30">
      <c r="A30" s="3" t="inlineStr">
        <is>
          <t>7. 段#4 山东滨州 B ¥1650 价待 JS 渲染/人工核 — 启动前 1 周向客服核一次</t>
        </is>
      </c>
      <c r="B30" s="12" t="n"/>
      <c r="C30" s="12" t="n"/>
      <c r="D30" s="12" t="n"/>
      <c r="E30" s="12" t="n"/>
      <c r="F30" s="12" t="n"/>
      <c r="G30" s="12" t="n"/>
      <c r="H30" s="12" t="n"/>
      <c r="I30" s="13" t="n"/>
    </row>
    <row r="31">
      <c r="A31" s="1" t="inlineStr">
        <is>
          <t>3.4 最终选品 v3 — 每段选 1 个(段#2 选 2 个 A/B 备份)7 件组合,¥8,112</t>
        </is>
      </c>
    </row>
    <row r="32">
      <c r="A32" s="2" t="inlineStr">
        <is>
          <t>设备段</t>
        </is>
      </c>
      <c r="B32" s="2" t="inlineStr">
        <is>
          <t>霍曼型号</t>
        </is>
      </c>
      <c r="C32" s="2" t="inlineStr">
        <is>
          <t>霍曼基准价 ¥</t>
        </is>
      </c>
      <c r="D32" s="2" t="inlineStr">
        <is>
          <t>选定平替</t>
        </is>
      </c>
      <c r="E32" s="2" t="inlineStr">
        <is>
          <t>平替品牌</t>
        </is>
      </c>
      <c r="F32" s="2" t="inlineStr">
        <is>
          <t>平替价 ¥</t>
        </is>
      </c>
      <c r="G32" s="2" t="inlineStr">
        <is>
          <t>折扣%</t>
        </is>
      </c>
      <c r="H32" s="2" t="inlineStr">
        <is>
          <t>购买链接</t>
        </is>
      </c>
      <c r="I32" s="2" t="inlineStr"/>
    </row>
    <row r="33">
      <c r="A33" s="3" t="inlineStr">
        <is>
          <t>#1 洗护台</t>
        </is>
      </c>
      <c r="B33" s="3" t="inlineStr">
        <is>
          <t>LGT110</t>
        </is>
      </c>
      <c r="C33" s="3" t="n">
        <v>3680</v>
      </c>
      <c r="D33" s="3" t="inlineStr">
        <is>
          <t>5 款阶梯洗澡池 步梯款(¥2850)/电动升降款(¥3869)</t>
        </is>
      </c>
      <c r="E33" s="3" t="inlineStr">
        <is>
          <t>山东济宁 304 不锈钢</t>
        </is>
      </c>
      <c r="F33" s="3" t="n">
        <v>2850</v>
      </c>
      <c r="G33" s="3" t="inlineStr">
        <is>
          <t>22%</t>
        </is>
      </c>
      <c r="H33" s="3" t="inlineStr">
        <is>
          <t>https://detail.1688.com/offer/1047672857799.html</t>
        </is>
      </c>
      <c r="I33" s="3" t="inlineStr"/>
    </row>
    <row r="34">
      <c r="A34" s="3" t="inlineStr">
        <is>
          <t>#2 烘干箱小</t>
        </is>
      </c>
      <c r="B34" s="3" t="inlineStr">
        <is>
          <t>SD80</t>
        </is>
      </c>
      <c r="C34" s="3" t="n">
        <v>2399</v>
      </c>
      <c r="D34" s="3" t="inlineStr">
        <is>
          <t>【v3 A/B 备份】主用 嬉皮狗智能语音 弥雅白 51×45×38cm / 备份 嘉兴慧曼 HM-CW03 5 款 SKU</t>
        </is>
      </c>
      <c r="E34" s="3" t="inlineStr">
        <is>
          <t>嬉皮狗(主) + 嘉兴慧曼(备)</t>
        </is>
      </c>
      <c r="F34" s="3" t="n">
        <v>891</v>
      </c>
      <c r="G34" s="3" t="inlineStr">
        <is>
          <t>63%</t>
        </is>
      </c>
      <c r="H34" s="3" t="inlineStr">
        <is>
          <t>https://detail.1688.com/offer/1010299839236.html + https://detail.1688.com/offer/837422903249.html</t>
        </is>
      </c>
      <c r="I34" s="3" t="inlineStr"/>
    </row>
    <row r="35">
      <c r="A35" s="3" t="inlineStr">
        <is>
          <t>#3 烘干箱大</t>
        </is>
      </c>
      <c r="B35" s="3" t="inlineStr">
        <is>
          <t>PDB350</t>
        </is>
      </c>
      <c r="C35" s="3" t="n">
        <v>8000</v>
      </c>
      <c r="D35" s="3" t="inlineStr">
        <is>
          <t>430L 超巨大可折叠 100×72×96.5cm / 55kg / 2800W / 110斤 (双区独立控制+臭氧+负离子) / 容量 1.23x + 功率 1.27x + 内尺寸 1.98x vs 霍曼 350L</t>
        </is>
      </c>
      <c r="E35" s="3" t="inlineStr">
        <is>
          <t>东莞蔚德晟科技</t>
        </is>
      </c>
      <c r="F35" s="3" t="n">
        <v>4880</v>
      </c>
      <c r="G35" s="3" t="inlineStr">
        <is>
          <t>39%</t>
        </is>
      </c>
      <c r="H35" s="3" t="inlineStr">
        <is>
          <t>https://detail.1688.com/offer/965079465804.html</t>
        </is>
      </c>
      <c r="I35" s="3" t="inlineStr"/>
    </row>
    <row r="36">
      <c r="A36" s="3" t="inlineStr">
        <is>
          <t>#4 浴缸</t>
        </is>
      </c>
      <c r="B36" s="3" t="inlineStr">
        <is>
          <t>PB20</t>
        </is>
      </c>
      <c r="C36" s="3" t="n">
        <v>4620</v>
      </c>
      <c r="D36" s="3" t="inlineStr">
        <is>
          <t>电动升降洗澡池 120×70 升级款加厚(全不锈钢出口款)</t>
        </is>
      </c>
      <c r="E36" s="3" t="inlineStr">
        <is>
          <t>山东济宁 304 不锈钢</t>
        </is>
      </c>
      <c r="F36" s="3" t="n">
        <v>2466</v>
      </c>
      <c r="G36" s="3" t="inlineStr">
        <is>
          <t>47%</t>
        </is>
      </c>
      <c r="H36" s="3" t="inlineStr">
        <is>
          <t>https://detail.1688.com/offer/1031087956544.html</t>
        </is>
      </c>
      <c r="I36" s="3" t="inlineStr"/>
    </row>
    <row r="37">
      <c r="A37" s="3" t="inlineStr">
        <is>
          <t>#5 方桌</t>
        </is>
      </c>
      <c r="B37" s="3" t="inlineStr">
        <is>
          <t>BT20M</t>
        </is>
      </c>
      <c r="C37" s="3" t="n">
        <v>2100</v>
      </c>
      <c r="D37" s="3" t="inlineStr">
        <is>
          <t>304 不锈钢 124×64×(34-97)cm 电动升降 / 17 款 SKU 实力工厂</t>
        </is>
      </c>
      <c r="E37" s="3" t="inlineStr">
        <is>
          <t>佛山酷格卫浴</t>
        </is>
      </c>
      <c r="F37" s="3" t="n">
        <v>519</v>
      </c>
      <c r="G37" s="3" t="inlineStr">
        <is>
          <t>75%</t>
        </is>
      </c>
      <c r="H37" s="3" t="inlineStr">
        <is>
          <t>https://detail.1688.com/offer/1000692968156.html</t>
        </is>
      </c>
      <c r="I37" s="3" t="inlineStr"/>
    </row>
    <row r="38">
      <c r="A38" s="3" t="inlineStr">
        <is>
          <t>#6 圆桌</t>
        </is>
      </c>
      <c r="B38" s="3" t="inlineStr">
        <is>
          <t>BT10</t>
        </is>
      </c>
      <c r="C38" s="3" t="n">
        <v>720</v>
      </c>
      <c r="D38" s="3" t="inlineStr">
        <is>
          <t>气压升降 60cm 12 色 SKU 已售 898</t>
        </is>
      </c>
      <c r="E38" s="3" t="inlineStr">
        <is>
          <t>宠物美容台气压圆形</t>
        </is>
      </c>
      <c r="F38" s="3" t="n">
        <v>338</v>
      </c>
      <c r="G38" s="3" t="inlineStr">
        <is>
          <t>53%</t>
        </is>
      </c>
      <c r="H38" s="3" t="inlineStr">
        <is>
          <t>https://detail.1688.com/offer/976216930064.html</t>
        </is>
      </c>
      <c r="I38" s="3" t="inlineStr"/>
    </row>
    <row r="39">
      <c r="A39" s="3" t="inlineStr">
        <is>
          <t>#7 吹水机</t>
        </is>
      </c>
      <c r="B39" s="3" t="inlineStr">
        <is>
          <t>ND10</t>
        </is>
      </c>
      <c r="C39" s="3" t="n">
        <v>459</v>
      </c>
      <c r="D39" s="3" t="inlineStr">
        <is>
          <t>挂脖吹风机 极地白 310g 跨境高速静音 2 台起批</t>
        </is>
      </c>
      <c r="E39" s="3" t="inlineStr">
        <is>
          <t>江苏常州超伦</t>
        </is>
      </c>
      <c r="F39" s="3" t="n">
        <v>299</v>
      </c>
      <c r="G39" s="3" t="inlineStr">
        <is>
          <t>35%</t>
        </is>
      </c>
      <c r="H39" s="3" t="inlineStr">
        <is>
          <t>https://detail.1688.com/offer/1015772639577.html</t>
        </is>
      </c>
      <c r="I39" s="3" t="inlineStr"/>
    </row>
    <row r="40">
      <c r="A40" s="10" t="inlineStr">
        <is>
          <t>合计</t>
        </is>
      </c>
      <c r="B40" s="10" t="inlineStr">
        <is>
          <t>—</t>
        </is>
      </c>
      <c r="C40" s="10" t="n">
        <v>19019</v>
      </c>
      <c r="D40" s="10" t="inlineStr">
        <is>
          <t>7 件平替组合(段#2 A/B 备份 + 段#3 完美对标 430L 蔚德晟,其他 5 件各 1 个绿候选) vs 霍曼新样机 7 件</t>
        </is>
      </c>
      <c r="E40" s="10" t="inlineStr">
        <is>
          <t>—</t>
        </is>
      </c>
      <c r="F40" s="10" t="n">
        <v>12243</v>
      </c>
      <c r="G40" s="10" t="inlineStr">
        <is>
          <t>35.6%</t>
        </is>
      </c>
      <c r="H40" s="10" t="inlineStr">
        <is>
          <t>—</t>
        </is>
      </c>
      <c r="I40" s="10" t="inlineStr"/>
    </row>
    <row r="42">
      <c r="A42" s="1" t="inlineStr">
        <is>
          <t>3.5 决策建议 【v5: 霍曼新样机价 18,299 + 圆桌 720 = 7 件 19,019;v4 平替 12,243 省 6,776 (35.6%)】</t>
        </is>
      </c>
    </row>
    <row r="43">
      <c r="A43" s="3" t="inlineStr">
        <is>
          <t>✅ 主推方案 v5:7 件平替 ¥12,243 vs 霍曼新样机 7 件 ¥19,019,节省 ¥6,776 (35.6% off 新样机) — 段#2 A/B 备份(嬉皮狗 ¥603 + 嘉兴慧曼 ¥288) + 段#3 完美对标 430L 蔚德晟 ¥4880 + 段#5/段#6/段#7 维持 v4 选品</t>
        </is>
      </c>
      <c r="B43" s="12" t="n"/>
      <c r="C43" s="12" t="n"/>
      <c r="D43" s="12" t="n"/>
      <c r="E43" s="12" t="n"/>
      <c r="F43" s="12" t="n"/>
      <c r="G43" s="12" t="n"/>
      <c r="H43" s="12" t="n"/>
      <c r="I43" s="13" t="n"/>
    </row>
    <row r="44">
      <c r="A44" s="3" t="inlineStr">
        <is>
          <t>🎯 v5 关键发现 (vs v4) — 霍曼新样机价 6 件 ¥18,299,圆桌另买 ¥720:</t>
        </is>
      </c>
      <c r="B44" s="12" t="n"/>
      <c r="C44" s="12" t="n"/>
      <c r="D44" s="12" t="n"/>
      <c r="E44" s="12" t="n"/>
      <c r="F44" s="12" t="n"/>
      <c r="G44" s="12" t="n"/>
      <c r="H44" s="12" t="n"/>
      <c r="I44" s="13" t="n"/>
    </row>
    <row r="45">
      <c r="A45" s="3" t="inlineStr">
        <is>
          <t xml:space="preserve">   • 霍曼降价:7 件套餐 ¥21,978 → ¥19,019(降 ¥2,959 / -13.5% off) — 6 件样机(LGT110+SD80+PDB350+PB20+BT20M+ND10)= ¥18,299,圆桌 BT10 不含需另买 ¥720</t>
        </is>
      </c>
      <c r="B45" s="12" t="n"/>
      <c r="C45" s="12" t="n"/>
      <c r="D45" s="12" t="n"/>
      <c r="E45" s="12" t="n"/>
      <c r="F45" s="12" t="n"/>
      <c r="G45" s="12" t="n"/>
      <c r="H45" s="12" t="n"/>
      <c r="I45" s="13" t="n"/>
    </row>
    <row r="46">
      <c r="A46" s="3" t="inlineStr">
        <is>
          <t xml:space="preserve">   • 段#3 PDB350 对比:霍曼样机 ¥6,500(原 8,000 降 1,500)vs v4 平替 430L 蔚德晟 ¥4,880 — 平替仍便宜 ¥1,620(24.9% off 新霍曼) + 容量 1.23x + 功率 1.27x 优势保持</t>
        </is>
      </c>
      <c r="B46" s="12" t="n"/>
      <c r="C46" s="12" t="n"/>
      <c r="D46" s="12" t="n"/>
      <c r="E46" s="12" t="n"/>
      <c r="F46" s="12" t="n"/>
      <c r="G46" s="12" t="n"/>
      <c r="H46" s="12" t="n"/>
      <c r="I46" s="13" t="n"/>
    </row>
    <row r="47">
      <c r="A47" s="3" t="inlineStr">
        <is>
          <t xml:space="preserve">   • 段#5 BT20M 对比:霍曼样机 ¥1,800(原 2,100 降 300)vs v4 平替佛山酷格 ¥519 — 平替便宜 ¥1,281(71.2% off 新霍曼) — 霍曼新价反而拉大段#5 价差</t>
        </is>
      </c>
      <c r="B47" s="12" t="n"/>
      <c r="C47" s="12" t="n"/>
      <c r="D47" s="12" t="n"/>
      <c r="E47" s="12" t="n"/>
      <c r="F47" s="12" t="n"/>
      <c r="G47" s="12" t="n"/>
      <c r="H47" s="12" t="n"/>
      <c r="I47" s="13" t="n"/>
    </row>
    <row r="48">
      <c r="A48" s="3" t="inlineStr">
        <is>
          <t xml:space="preserve">   • 段#7 ND10 吹水机:霍曼样机方案从原赠品 ¥459 升为正式件 ¥600(+¥141, 实际涨价)vs v4 平替江苏超伦 ¥299 — 平替仍便宜 ¥301(50.2% off 新霍曼)</t>
        </is>
      </c>
      <c r="B48" s="12" t="n"/>
      <c r="C48" s="12" t="n"/>
      <c r="D48" s="12" t="n"/>
      <c r="E48" s="12" t="n"/>
      <c r="F48" s="12" t="n"/>
      <c r="G48" s="12" t="n"/>
      <c r="H48" s="12" t="n"/>
      <c r="I48" s="13" t="n"/>
    </row>
    <row r="49">
      <c r="A49" s="3" t="inlineStr">
        <is>
          <t>📋 资金再分配 (v5 vs v4):</t>
        </is>
      </c>
      <c r="B49" s="12" t="n"/>
      <c r="C49" s="12" t="n"/>
      <c r="D49" s="12" t="n"/>
      <c r="E49" s="12" t="n"/>
      <c r="F49" s="12" t="n"/>
      <c r="G49" s="12" t="n"/>
      <c r="H49" s="12" t="n"/>
      <c r="I49" s="13" t="n"/>
    </row>
    <row r="50">
      <c r="A50" s="3" t="inlineStr">
        <is>
          <t xml:space="preserve">   • 设备实付:¥18,243 (¥12,243 设备 + ¥6,000 囤货/证照) — v5 沿用 v4 数字(平替价不变)</t>
        </is>
      </c>
      <c r="B50" s="12" t="n"/>
      <c r="C50" s="12" t="n"/>
      <c r="D50" s="12" t="n"/>
      <c r="E50" s="12" t="n"/>
      <c r="F50" s="12" t="n"/>
      <c r="G50" s="12" t="n"/>
      <c r="H50" s="12" t="n"/>
      <c r="I50" s="13" t="n"/>
    </row>
    <row r="51">
      <c r="A51" s="3" t="inlineStr">
        <is>
          <t xml:space="preserve">   • 流动资金:¥48,740 (v4 不变,v5 沿用)</t>
        </is>
      </c>
      <c r="B51" s="12" t="n"/>
      <c r="C51" s="12" t="n"/>
      <c r="D51" s="12" t="n"/>
      <c r="E51" s="12" t="n"/>
      <c r="F51" s="12" t="n"/>
      <c r="G51" s="12" t="n"/>
      <c r="H51" s="12" t="n"/>
      <c r="I51" s="13" t="n"/>
    </row>
    <row r="52">
      <c r="A52" s="3" t="inlineStr">
        <is>
          <t xml:space="preserve">   • 营销:¥35,017 (v4 不变)</t>
        </is>
      </c>
      <c r="B52" s="12" t="n"/>
      <c r="C52" s="12" t="n"/>
      <c r="D52" s="12" t="n"/>
      <c r="E52" s="12" t="n"/>
      <c r="F52" s="12" t="n"/>
      <c r="G52" s="12" t="n"/>
      <c r="H52" s="12" t="n"/>
      <c r="I52" s="13" t="n"/>
    </row>
    <row r="53">
      <c r="A53" s="3" t="inlineStr">
        <is>
          <t xml:space="preserve">   • 启动资金总额:18.23 万(保持不变,仅分配结构与 v4 一致)</t>
        </is>
      </c>
      <c r="B53" s="12" t="n"/>
      <c r="C53" s="12" t="n"/>
      <c r="D53" s="12" t="n"/>
      <c r="E53" s="12" t="n"/>
      <c r="F53" s="12" t="n"/>
      <c r="G53" s="12" t="n"/>
      <c r="H53" s="12" t="n"/>
      <c r="I53" s="13" t="n"/>
    </row>
    <row r="54">
      <c r="A54" s="3" t="inlineStr">
        <is>
          <t>🚀 下一步:每件拿 1 件样品实物对比 → 段#3 蔚德晟 430L 启动前必须先发样品验证双区独立控制 + 2800W 走单独 16A 插座 → 段#5 酷格黑色通款小启动前核价 → git commit v5 → GitHub Pages 线上版更新</t>
        </is>
      </c>
      <c r="B54" s="12" t="n"/>
      <c r="C54" s="12" t="n"/>
      <c r="D54" s="12" t="n"/>
      <c r="E54" s="12" t="n"/>
      <c r="F54" s="12" t="n"/>
      <c r="G54" s="12" t="n"/>
      <c r="H54" s="12" t="n"/>
      <c r="I54" s="13" t="n"/>
    </row>
  </sheetData>
  <mergeCells count="26">
    <mergeCell ref="A25:I25"/>
    <mergeCell ref="A54:I54"/>
    <mergeCell ref="A46:I46"/>
    <mergeCell ref="A27:I27"/>
    <mergeCell ref="A50:I50"/>
    <mergeCell ref="A26:I26"/>
    <mergeCell ref="A47:I47"/>
    <mergeCell ref="A42:I42"/>
    <mergeCell ref="A2:R2"/>
    <mergeCell ref="A23:I23"/>
    <mergeCell ref="A53:I53"/>
    <mergeCell ref="A4:I4"/>
    <mergeCell ref="A29:I29"/>
    <mergeCell ref="A52:I52"/>
    <mergeCell ref="A43:I43"/>
    <mergeCell ref="A28:I28"/>
    <mergeCell ref="A44:I44"/>
    <mergeCell ref="A31:I31"/>
    <mergeCell ref="A48:I48"/>
    <mergeCell ref="A30:I30"/>
    <mergeCell ref="A24:I24"/>
    <mergeCell ref="A49:I49"/>
    <mergeCell ref="A51:I51"/>
    <mergeCell ref="A45:I45"/>
    <mergeCell ref="A1:R1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60" customWidth="1" min="3" max="3"/>
    <col width="38" customWidth="1" min="4" max="4"/>
    <col width="8" customWidth="1" min="5" max="5"/>
    <col width="8" customWidth="1" min="6" max="6"/>
  </cols>
  <sheetData>
    <row r="1">
      <c r="A1" s="1" t="inlineStr">
        <is>
          <t>平替评分体系 v1.0 — 5 维 100 分制 · 霍曼基准对照 · 决策矩阵</t>
        </is>
      </c>
    </row>
    <row r="3">
      <c r="A3" s="2" t="inlineStr">
        <is>
          <t>评分维度</t>
        </is>
      </c>
      <c r="B3" s="2" t="inlineStr">
        <is>
          <t>满分</t>
        </is>
      </c>
      <c r="C3" s="2" t="inlineStr">
        <is>
          <t>评分标准</t>
        </is>
      </c>
      <c r="D3" s="2" t="inlineStr">
        <is>
          <t>数据源</t>
        </is>
      </c>
      <c r="E3" s="2" t="inlineStr"/>
      <c r="F3" s="2" t="inlineStr"/>
    </row>
    <row r="4">
      <c r="A4" s="3" t="inlineStr">
        <is>
          <t>价格折扣</t>
        </is>
      </c>
      <c r="B4" s="3" t="n">
        <v>25</v>
      </c>
      <c r="C4" s="6" t="inlineStr">
        <is>
          <t>比霍曼基准价折扣 ≥50% = 25;30-50% = 20;10-30% = 15;0-10% = 10;持平或更高 = 5;价格未知 = 8</t>
        </is>
      </c>
      <c r="D4" s="3" t="inlineStr">
        <is>
          <t>Sheet 1 微信报价 vs Sheet 2 报价列</t>
        </is>
      </c>
    </row>
    <row r="5">
      <c r="A5" s="3" t="inlineStr">
        <is>
          <t>材质匹配</t>
        </is>
      </c>
      <c r="B5" s="3" t="n">
        <v>20</v>
      </c>
      <c r="C5" s="6" t="inlineStr">
        <is>
          <t>关键材质完全对标(304 不锈钢/亚克力/钢架)=20;主材对标但副材降级=12;主材降级(塑代钢)=5</t>
        </is>
      </c>
      <c r="D5" s="3" t="inlineStr">
        <is>
          <t>Sheet 2 H 列规格 vs Sheet 1 PDF 主表</t>
        </is>
      </c>
    </row>
    <row r="6">
      <c r="A6" s="3" t="inlineStr">
        <is>
          <t>规格尺寸</t>
        </is>
      </c>
      <c r="B6" s="3" t="n">
        <v>20</v>
      </c>
      <c r="C6" s="6" t="inlineStr">
        <is>
          <t>外尺寸完全在 12~15㎡ 空间内+容量/承重对标=20;某项略小或略低=12;明显小(80% 以下)=5</t>
        </is>
      </c>
      <c r="D6" s="3" t="inlineStr">
        <is>
          <t>Sheet 2 G 列尺寸 + Sheet 3 决策汇总</t>
        </is>
      </c>
    </row>
    <row r="7">
      <c r="A7" s="3" t="inlineStr">
        <is>
          <t>店铺可信度</t>
        </is>
      </c>
      <c r="B7" s="3" t="n">
        <v>15</v>
      </c>
      <c r="C7" s="6" t="inlineStr">
        <is>
          <t>回头率 ≥30% + 销量 ≥50 + 入驻 ≥2 年=15;回头率 10-30% 或销量 10-50=8;新店或销量 &lt;10=4</t>
        </is>
      </c>
      <c r="D7" s="3" t="inlineStr">
        <is>
          <t>1688 详情页店铺评分(回头率/服务分/好评率)</t>
        </is>
      </c>
    </row>
    <row r="8">
      <c r="A8" s="3" t="inlineStr">
        <is>
          <t>交期物流</t>
        </is>
      </c>
      <c r="B8" s="3" t="n">
        <v>20</v>
      </c>
      <c r="C8" s="6" t="inlineStr">
        <is>
          <t>现货+包邮+1-3 天发货+库存 ≥100=20;现货+包邮但 4-7 天=12;定制或运费 ¥100+=5</t>
        </is>
      </c>
      <c r="D8" s="3" t="inlineStr">
        <is>
          <t>1688 详情页发货承诺 + 库存数字</t>
        </is>
      </c>
    </row>
    <row r="10">
      <c r="A10" s="1" t="inlineStr">
        <is>
          <t>霍曼基准价表(Sheet 1 微信报价)</t>
        </is>
      </c>
    </row>
    <row r="11">
      <c r="A11" s="2" t="inlineStr">
        <is>
          <t>设备</t>
        </is>
      </c>
      <c r="B11" s="2" t="inlineStr">
        <is>
          <t>型号</t>
        </is>
      </c>
      <c r="C11" s="2" t="inlineStr">
        <is>
          <t>霍曼基准价 (¥)</t>
        </is>
      </c>
      <c r="D11" s="2" t="inlineStr"/>
      <c r="E11" s="2" t="inlineStr"/>
      <c r="F11" s="2" t="inlineStr"/>
    </row>
    <row r="12">
      <c r="A12" s="3" t="inlineStr">
        <is>
          <t>低压洗护台</t>
        </is>
      </c>
      <c r="B12" s="3" t="inlineStr">
        <is>
          <t>LGT110 110cm</t>
        </is>
      </c>
      <c r="C12" s="3" t="n">
        <v>3680</v>
      </c>
    </row>
    <row r="13">
      <c r="A13" s="3" t="inlineStr">
        <is>
          <t>扫风烘干箱(小)</t>
        </is>
      </c>
      <c r="B13" s="3" t="inlineStr">
        <is>
          <t>SD80</t>
        </is>
      </c>
      <c r="C13" s="3" t="n">
        <v>2399</v>
      </c>
    </row>
    <row r="14">
      <c r="A14" s="3" t="inlineStr">
        <is>
          <t>扫风烘干箱(大)</t>
        </is>
      </c>
      <c r="B14" s="3" t="inlineStr">
        <is>
          <t>PDB350 60kg</t>
        </is>
      </c>
      <c r="C14" s="3" t="n">
        <v>8000</v>
      </c>
    </row>
    <row r="15">
      <c r="A15" s="3" t="inlineStr">
        <is>
          <t>不锈钢升降浴缸</t>
        </is>
      </c>
      <c r="B15" s="3" t="inlineStr">
        <is>
          <t>PB20</t>
        </is>
      </c>
      <c r="C15" s="3" t="n">
        <v>4620</v>
      </c>
    </row>
    <row r="16">
      <c r="A16" s="3" t="inlineStr">
        <is>
          <t>电动美容方桌</t>
        </is>
      </c>
      <c r="B16" s="3" t="inlineStr">
        <is>
          <t>BT20M</t>
        </is>
      </c>
      <c r="C16" s="3" t="n">
        <v>2100</v>
      </c>
    </row>
    <row r="17">
      <c r="A17" s="3" t="inlineStr">
        <is>
          <t>气动美容圆桌</t>
        </is>
      </c>
      <c r="B17" s="3" t="inlineStr">
        <is>
          <t>BT10</t>
        </is>
      </c>
      <c r="C17" s="3" t="n">
        <v>720</v>
      </c>
    </row>
    <row r="18">
      <c r="A18" s="3" t="inlineStr">
        <is>
          <t>肩托挂脖吹水机</t>
        </is>
      </c>
      <c r="B18" s="3" t="inlineStr">
        <is>
          <t>ND10</t>
        </is>
      </c>
      <c r="C18" s="3" t="n">
        <v>459</v>
      </c>
    </row>
    <row r="21">
      <c r="A21" s="1" t="inlineStr">
        <is>
          <t>评分→决策矩阵</t>
        </is>
      </c>
    </row>
    <row r="22">
      <c r="A22" s="2" t="inlineStr">
        <is>
          <t>总分区间</t>
        </is>
      </c>
      <c r="B22" s="2" t="inlineStr">
        <is>
          <t>决策</t>
        </is>
      </c>
      <c r="C22" s="2" t="inlineStr">
        <is>
          <t>颜色</t>
        </is>
      </c>
      <c r="D22" s="2" t="inlineStr">
        <is>
          <t>动作</t>
        </is>
      </c>
      <c r="E22" s="2" t="inlineStr">
        <is>
          <t>示例</t>
        </is>
      </c>
      <c r="F22" s="2" t="inlineStr"/>
    </row>
    <row r="23">
      <c r="A23" s="3" t="inlineStr">
        <is>
          <t>≥ 80 分</t>
        </is>
      </c>
      <c r="B23" s="3" t="inlineStr">
        <is>
          <t>✅ 候选</t>
        </is>
      </c>
      <c r="C23" s="3" t="inlineStr">
        <is>
          <t>🟢 绿</t>
        </is>
      </c>
      <c r="D23" s="3" t="inlineStr">
        <is>
          <t>1 件起批可下单;跟客服要样品视频/到付看实物</t>
        </is>
      </c>
      <c r="E23" s="3" t="inlineStr">
        <is>
          <t>山东济宁 5 款阶梯 92 分</t>
        </is>
      </c>
    </row>
    <row r="24">
      <c r="A24" s="3" t="inlineStr">
        <is>
          <t>60-79 分</t>
        </is>
      </c>
      <c r="B24" s="3" t="inlineStr">
        <is>
          <t>🟡 备选</t>
        </is>
      </c>
      <c r="C24" s="3" t="inlineStr">
        <is>
          <t>🟡 黄</t>
        </is>
      </c>
      <c r="D24" s="3" t="inlineStr">
        <is>
          <t>保留 2-3 个 SKU;等样品/打样后再定</t>
        </is>
      </c>
      <c r="E24" s="3" t="inlineStr">
        <is>
          <t>中山厂家 72 分</t>
        </is>
      </c>
    </row>
    <row r="25">
      <c r="A25" s="3" t="inlineStr">
        <is>
          <t>&lt; 60 分</t>
        </is>
      </c>
      <c r="B25" s="3" t="inlineStr">
        <is>
          <t>🔴 弃用</t>
        </is>
      </c>
      <c r="C25" s="3" t="inlineStr">
        <is>
          <t>🔴 红</t>
        </is>
      </c>
      <c r="D25" s="3" t="inlineStr">
        <is>
          <t>信息不足或参数对不上,放弃</t>
        </is>
      </c>
      <c r="E25" s="3" t="inlineStr">
        <is>
          <t>本次无</t>
        </is>
      </c>
    </row>
    <row r="27">
      <c r="A27" s="1" t="inlineStr">
        <is>
          <t>📊 v5 评分分布(23 候选):🟢绿(≥80)=15 / 🟡黄(60-79)=8 / 🔴红(&lt;60)=0 — 沿用 v4 分布(选品无变化,仅霍曼基准价改 21,978→19,019)</t>
        </is>
      </c>
    </row>
    <row r="28">
      <c r="A28" s="5" t="inlineStr">
        <is>
          <t>💡 v5 变化:霍曼 7 件套餐 ¥21,978 → 新样机价 ¥19,019(LGT110+SD80+PDB350+PB20+BT20M+ND10 共 6 件 ¥18,299 + 圆桌 ¥720 另买)。v4 平替 7 件 ¥12,243 不变,新节省 ¥6,776 (35.6% off 新霍曼) — 比 v4 节省 ¥9,735 (44.3% off 原价) 少省 ¥2,959(因霍曼新价也降了)。资金分配不变,启动资金 18.23 万不变。</t>
        </is>
      </c>
    </row>
  </sheetData>
  <mergeCells count="5">
    <mergeCell ref="A10:F10"/>
    <mergeCell ref="A28:R28"/>
    <mergeCell ref="A27:F27"/>
    <mergeCell ref="A1:R1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2026-08-05T14:42:03Z</dcterms:created>
  <dcterms:modified xmlns:dcterms="http://purl.org/dc/terms/" xmlns:xsi="http://www.w3.org/2001/XMLSchema-instance" xsi:type="dcterms:W3CDTF">2026-08-07T07:35:15Z</dcterms:modified>
</cp:coreProperties>
</file>